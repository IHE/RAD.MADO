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share.philips.com/sites/CONNECTWP/Shared Documents/EHDS/CONNNECT250416-KOS-comparison/"/>
    </mc:Choice>
  </mc:AlternateContent>
  <xr:revisionPtr revIDLastSave="1675" documentId="8_{49983A63-0733-4D16-A2F2-083E9D281717}" xr6:coauthVersionLast="47" xr6:coauthVersionMax="47" xr10:uidLastSave="{7E99004A-755F-421F-8258-DB778EF39E07}"/>
  <bookViews>
    <workbookView minimized="1" xWindow="30270" yWindow="-1035" windowWidth="21600" windowHeight="11295" activeTab="5" xr2:uid="{00000000-000D-0000-FFFF-FFFF00000000}"/>
    <workbookView xWindow="-120" yWindow="-120" windowWidth="29040" windowHeight="15720" activeTab="5" xr2:uid="{3FCD80A9-3DF1-4AA1-87F4-602B86F5D478}"/>
  </bookViews>
  <sheets>
    <sheet name="XtEHR" sheetId="1" r:id="rId1"/>
    <sheet name="KOS" sheetId="2" r:id="rId2"/>
    <sheet name="KOS SR" sheetId="4" r:id="rId3"/>
    <sheet name="FHIR" sheetId="5" r:id="rId4"/>
    <sheet name="Sheet2" sheetId="3" r:id="rId5"/>
    <sheet name="Sheet1" sheetId="6" r:id="rId6"/>
  </sheets>
  <definedNames>
    <definedName name="_xlnm._FilterDatabase" localSheetId="3" hidden="1">FHIR!$A$1:$N$250</definedName>
    <definedName name="_xlnm._FilterDatabase" localSheetId="1" hidden="1">KOS!$A$1:$AI$147</definedName>
    <definedName name="_xlnm._FilterDatabase" localSheetId="0" hidden="1">XtEHR!$A$1:$AA$183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6" l="1"/>
  <c r="M54" i="6"/>
  <c r="M53" i="6"/>
  <c r="M52" i="6"/>
  <c r="M51" i="6"/>
  <c r="M50" i="6"/>
  <c r="M49" i="6"/>
  <c r="M48" i="6"/>
  <c r="M47" i="6"/>
  <c r="M46" i="6"/>
  <c r="M45" i="6"/>
  <c r="M44" i="6"/>
  <c r="M43" i="6"/>
  <c r="M42"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K53" i="6"/>
  <c r="K52" i="6"/>
  <c r="K51" i="6"/>
  <c r="K50" i="6"/>
  <c r="K49" i="6"/>
  <c r="K48" i="6"/>
  <c r="K47" i="6"/>
  <c r="K46" i="6"/>
  <c r="K45" i="6"/>
  <c r="K44" i="6"/>
  <c r="K43" i="6"/>
  <c r="K42"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K3" i="6"/>
  <c r="Z71" i="2"/>
  <c r="AA71" i="2" s="1"/>
  <c r="P71" i="2" s="1"/>
  <c r="Z70" i="2"/>
  <c r="AA70" i="2" s="1"/>
  <c r="P70" i="2" s="1"/>
  <c r="N71" i="2"/>
  <c r="N70" i="2"/>
  <c r="V71" i="2"/>
  <c r="R71" i="2" s="1"/>
  <c r="V70" i="2"/>
  <c r="R70" i="2" s="1"/>
  <c r="N69" i="5"/>
  <c r="K69" i="5"/>
  <c r="I69" i="5"/>
  <c r="E69" i="5"/>
  <c r="AA320" i="2"/>
  <c r="AA319" i="2"/>
  <c r="AA318" i="2"/>
  <c r="AA317" i="2"/>
  <c r="AA316" i="2"/>
  <c r="AA315" i="2"/>
  <c r="AA314" i="2"/>
  <c r="AA313" i="2"/>
  <c r="AA312" i="2"/>
  <c r="AA311" i="2"/>
  <c r="AA310" i="2"/>
  <c r="AA309" i="2"/>
  <c r="AA308" i="2"/>
  <c r="AA307" i="2"/>
  <c r="AA306" i="2"/>
  <c r="AA305" i="2"/>
  <c r="AA304" i="2"/>
  <c r="AA303" i="2"/>
  <c r="AA302" i="2"/>
  <c r="AA301" i="2"/>
  <c r="AA300" i="2"/>
  <c r="AA299" i="2"/>
  <c r="AA298" i="2"/>
  <c r="AA297" i="2"/>
  <c r="AA296" i="2"/>
  <c r="AA295" i="2"/>
  <c r="AA294" i="2"/>
  <c r="AA293" i="2"/>
  <c r="AA292" i="2"/>
  <c r="AA291" i="2"/>
  <c r="AA290" i="2"/>
  <c r="AA289"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5" i="2"/>
  <c r="AA254" i="2"/>
  <c r="AA253" i="2"/>
  <c r="AA252" i="2"/>
  <c r="AA251" i="2"/>
  <c r="AA250" i="2"/>
  <c r="AA249" i="2"/>
  <c r="AA248" i="2"/>
  <c r="AA247" i="2"/>
  <c r="AA246" i="2"/>
  <c r="AA245" i="2"/>
  <c r="AA244" i="2"/>
  <c r="AA243" i="2"/>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A176" i="2"/>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P97" i="2" s="1"/>
  <c r="AA89" i="2"/>
  <c r="P89" i="2" s="1"/>
  <c r="AA88" i="2"/>
  <c r="P88" i="2" s="1"/>
  <c r="AA87" i="2"/>
  <c r="P87" i="2" s="1"/>
  <c r="AA86" i="2"/>
  <c r="P86" i="2" s="1"/>
  <c r="AA85" i="2"/>
  <c r="P85" i="2" s="1"/>
  <c r="AA84" i="2"/>
  <c r="P84" i="2" s="1"/>
  <c r="AA83" i="2"/>
  <c r="P83" i="2" s="1"/>
  <c r="AA82" i="2"/>
  <c r="P82" i="2" s="1"/>
  <c r="AA81" i="2"/>
  <c r="P81" i="2" s="1"/>
  <c r="AA80" i="2"/>
  <c r="P80" i="2" s="1"/>
  <c r="AA79" i="2"/>
  <c r="P79" i="2" s="1"/>
  <c r="AA78" i="2"/>
  <c r="P78" i="2" s="1"/>
  <c r="AA75" i="2"/>
  <c r="P75" i="2" s="1"/>
  <c r="AA74" i="2"/>
  <c r="P74" i="2" s="1"/>
  <c r="AA67" i="2"/>
  <c r="AA66" i="2"/>
  <c r="AA65" i="2"/>
  <c r="AA64" i="2"/>
  <c r="AA63" i="2"/>
  <c r="AA61" i="2"/>
  <c r="AA60" i="2"/>
  <c r="AA59" i="2"/>
  <c r="AA58" i="2"/>
  <c r="AA56"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K186" i="5"/>
  <c r="K185" i="5"/>
  <c r="K184" i="5"/>
  <c r="K183" i="5"/>
  <c r="K182" i="5"/>
  <c r="K181" i="5"/>
  <c r="K180" i="5"/>
  <c r="K179" i="5"/>
  <c r="K178" i="5"/>
  <c r="K177" i="5"/>
  <c r="K176" i="5"/>
  <c r="K175" i="5"/>
  <c r="K174" i="5"/>
  <c r="K173" i="5"/>
  <c r="K172" i="5"/>
  <c r="K171" i="5"/>
  <c r="K170" i="5"/>
  <c r="K169" i="5"/>
  <c r="K168" i="5"/>
  <c r="K167" i="5"/>
  <c r="K166" i="5"/>
  <c r="K165" i="5"/>
  <c r="K164" i="5"/>
  <c r="K160" i="5"/>
  <c r="K159" i="5"/>
  <c r="K158" i="5"/>
  <c r="K157" i="5"/>
  <c r="K156" i="5"/>
  <c r="K155" i="5"/>
  <c r="K154" i="5"/>
  <c r="K153" i="5"/>
  <c r="K152" i="5"/>
  <c r="K151" i="5"/>
  <c r="K150" i="5"/>
  <c r="K149" i="5"/>
  <c r="K148"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4" i="5"/>
  <c r="K83" i="5"/>
  <c r="K82" i="5"/>
  <c r="K81" i="5"/>
  <c r="K80" i="5"/>
  <c r="K79" i="5"/>
  <c r="K78" i="5"/>
  <c r="K77" i="5"/>
  <c r="K76" i="5"/>
  <c r="K75" i="5"/>
  <c r="K74" i="5"/>
  <c r="K70" i="5"/>
  <c r="K68" i="5"/>
  <c r="K67" i="5"/>
  <c r="K66" i="5"/>
  <c r="K65" i="5"/>
  <c r="K64" i="5"/>
  <c r="K63" i="5"/>
  <c r="K62" i="5"/>
  <c r="K61" i="5"/>
  <c r="K60" i="5"/>
  <c r="K59" i="5"/>
  <c r="K58" i="5"/>
  <c r="K57" i="5"/>
  <c r="K56" i="5"/>
  <c r="K55" i="5"/>
  <c r="K54" i="5"/>
  <c r="K53" i="5"/>
  <c r="K52" i="5"/>
  <c r="K51"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4" i="5"/>
  <c r="K3" i="5"/>
  <c r="Y121" i="4"/>
  <c r="Y120" i="4"/>
  <c r="Y119" i="4"/>
  <c r="Y118" i="4"/>
  <c r="Y117" i="4"/>
  <c r="Y116" i="4"/>
  <c r="Y115" i="4"/>
  <c r="Y114" i="4"/>
  <c r="Y113" i="4"/>
  <c r="Y112" i="4"/>
  <c r="Y111" i="4"/>
  <c r="Y110" i="4"/>
  <c r="Y109" i="4"/>
  <c r="Y108" i="4"/>
  <c r="Y107" i="4"/>
  <c r="Y106" i="4"/>
  <c r="Y105" i="4"/>
  <c r="Y104" i="4"/>
  <c r="Y12" i="4"/>
  <c r="R12" i="4" s="1"/>
  <c r="Y11" i="4"/>
  <c r="R11" i="4" s="1"/>
  <c r="Y10" i="4"/>
  <c r="R10" i="4" s="1"/>
  <c r="P81" i="4"/>
  <c r="P80" i="4"/>
  <c r="P79" i="4"/>
  <c r="P78" i="4"/>
  <c r="P77" i="4"/>
  <c r="P76" i="4"/>
  <c r="P75" i="4"/>
  <c r="P74" i="4"/>
  <c r="P73" i="4"/>
  <c r="P72" i="4"/>
  <c r="P71" i="4"/>
  <c r="P70" i="4"/>
  <c r="P69" i="4"/>
  <c r="P68" i="4"/>
  <c r="P67" i="4"/>
  <c r="P66" i="4"/>
  <c r="P44" i="4"/>
  <c r="P43" i="4"/>
  <c r="P42" i="4"/>
  <c r="P41" i="4"/>
  <c r="P40" i="4"/>
  <c r="P39" i="4"/>
  <c r="P38" i="4"/>
  <c r="P9" i="4"/>
  <c r="P8" i="4"/>
  <c r="P7" i="4"/>
  <c r="P6" i="4"/>
  <c r="P5" i="4"/>
  <c r="P4" i="4"/>
  <c r="P3" i="4"/>
  <c r="E186" i="5"/>
  <c r="E185" i="5"/>
  <c r="E184" i="5"/>
  <c r="E183" i="5"/>
  <c r="E182" i="5"/>
  <c r="E181" i="5"/>
  <c r="E180" i="5"/>
  <c r="E179" i="5"/>
  <c r="E178" i="5"/>
  <c r="E177" i="5"/>
  <c r="E176" i="5"/>
  <c r="E175" i="5"/>
  <c r="E174" i="5"/>
  <c r="E173" i="5"/>
  <c r="E172" i="5"/>
  <c r="E171" i="5"/>
  <c r="E170" i="5"/>
  <c r="E169" i="5"/>
  <c r="E168" i="5"/>
  <c r="E167" i="5"/>
  <c r="E166" i="5"/>
  <c r="E165" i="5"/>
  <c r="E164" i="5"/>
  <c r="E160" i="5"/>
  <c r="E159" i="5"/>
  <c r="E158" i="5"/>
  <c r="E157" i="5"/>
  <c r="E156" i="5"/>
  <c r="E155" i="5"/>
  <c r="E154" i="5"/>
  <c r="E153" i="5"/>
  <c r="E152" i="5"/>
  <c r="E151" i="5"/>
  <c r="E150" i="5"/>
  <c r="E149" i="5"/>
  <c r="E148"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4" i="5"/>
  <c r="E83" i="5"/>
  <c r="E82" i="5"/>
  <c r="E81" i="5"/>
  <c r="E80" i="5"/>
  <c r="E79" i="5"/>
  <c r="E78" i="5"/>
  <c r="E77" i="5"/>
  <c r="E76" i="5"/>
  <c r="E75" i="5"/>
  <c r="E74" i="5"/>
  <c r="E70" i="5"/>
  <c r="E68" i="5"/>
  <c r="E67" i="5"/>
  <c r="E66" i="5"/>
  <c r="E65" i="5"/>
  <c r="E64" i="5"/>
  <c r="E63" i="5"/>
  <c r="E62" i="5"/>
  <c r="E61" i="5"/>
  <c r="E60" i="5"/>
  <c r="E59" i="5"/>
  <c r="E58" i="5"/>
  <c r="E57" i="5"/>
  <c r="E56" i="5"/>
  <c r="E55" i="5"/>
  <c r="E54" i="5"/>
  <c r="E53" i="5"/>
  <c r="E52" i="5"/>
  <c r="E51" i="5"/>
  <c r="E47" i="5"/>
  <c r="E46" i="5"/>
  <c r="E45" i="5"/>
  <c r="E44" i="5"/>
  <c r="E43" i="5"/>
  <c r="E42" i="5"/>
  <c r="E41" i="5"/>
  <c r="E40" i="5"/>
  <c r="E39" i="5"/>
  <c r="E38" i="5"/>
  <c r="E37" i="5"/>
  <c r="E36" i="5"/>
  <c r="W59" i="4" s="1"/>
  <c r="P59" i="4" s="1"/>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I186" i="5"/>
  <c r="I185" i="5"/>
  <c r="I184" i="5"/>
  <c r="I183" i="5"/>
  <c r="I182" i="5"/>
  <c r="I181" i="5"/>
  <c r="I180" i="5"/>
  <c r="I179" i="5"/>
  <c r="I178" i="5"/>
  <c r="I177" i="5"/>
  <c r="I176" i="5"/>
  <c r="I175" i="5"/>
  <c r="I174" i="5"/>
  <c r="I173" i="5"/>
  <c r="I172" i="5"/>
  <c r="I171" i="5"/>
  <c r="I170" i="5"/>
  <c r="I169" i="5"/>
  <c r="I168" i="5"/>
  <c r="I167" i="5"/>
  <c r="I166" i="5"/>
  <c r="I165" i="5"/>
  <c r="I164" i="5"/>
  <c r="I160" i="5"/>
  <c r="I159" i="5"/>
  <c r="I158" i="5"/>
  <c r="I157" i="5"/>
  <c r="I156" i="5"/>
  <c r="I155" i="5"/>
  <c r="I154" i="5"/>
  <c r="I153" i="5"/>
  <c r="I152" i="5"/>
  <c r="I151" i="5"/>
  <c r="I150" i="5"/>
  <c r="I149" i="5"/>
  <c r="I148"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4" i="5"/>
  <c r="I83" i="5"/>
  <c r="I82" i="5"/>
  <c r="I81" i="5"/>
  <c r="I80" i="5"/>
  <c r="I79" i="5"/>
  <c r="I78" i="5"/>
  <c r="I77" i="5"/>
  <c r="I76" i="5"/>
  <c r="I75" i="5"/>
  <c r="I74" i="5"/>
  <c r="I70" i="5"/>
  <c r="I68" i="5"/>
  <c r="I67" i="5"/>
  <c r="I66" i="5"/>
  <c r="I65" i="5"/>
  <c r="I64" i="5"/>
  <c r="I63" i="5"/>
  <c r="I62" i="5"/>
  <c r="I61" i="5"/>
  <c r="I60" i="5"/>
  <c r="I59" i="5"/>
  <c r="I58" i="5"/>
  <c r="I57" i="5"/>
  <c r="I56" i="5"/>
  <c r="I55" i="5"/>
  <c r="I54" i="5"/>
  <c r="I53" i="5"/>
  <c r="I52" i="5"/>
  <c r="I51" i="5"/>
  <c r="I45" i="5"/>
  <c r="I43" i="5"/>
  <c r="I42" i="5"/>
  <c r="I41" i="5"/>
  <c r="I40" i="5"/>
  <c r="I38" i="5"/>
  <c r="I37" i="5"/>
  <c r="I34" i="5"/>
  <c r="I27" i="5"/>
  <c r="I26" i="5"/>
  <c r="I25" i="5"/>
  <c r="I24" i="5"/>
  <c r="I23" i="5"/>
  <c r="I22" i="5"/>
  <c r="I21" i="5"/>
  <c r="I20" i="5"/>
  <c r="I19" i="5"/>
  <c r="I18" i="5"/>
  <c r="I17" i="5"/>
  <c r="I16" i="5"/>
  <c r="I15" i="5"/>
  <c r="I14" i="5"/>
  <c r="I13" i="5"/>
  <c r="I12" i="5"/>
  <c r="I8" i="5"/>
  <c r="I7" i="5"/>
  <c r="I6" i="5"/>
  <c r="I4" i="5"/>
  <c r="I3" i="5"/>
  <c r="Q7" i="1"/>
  <c r="Q11" i="1"/>
  <c r="Q12" i="1"/>
  <c r="Q14" i="1"/>
  <c r="Q15" i="1"/>
  <c r="Q17" i="1"/>
  <c r="Q18" i="1"/>
  <c r="Q19" i="1"/>
  <c r="Q20" i="1"/>
  <c r="Q21" i="1"/>
  <c r="Q22" i="1"/>
  <c r="Q23" i="1"/>
  <c r="Q28" i="1"/>
  <c r="Q29" i="1"/>
  <c r="Q30" i="1"/>
  <c r="Q31" i="1"/>
  <c r="Q33" i="1"/>
  <c r="Q34" i="1"/>
  <c r="Q35" i="1"/>
  <c r="Q36" i="1"/>
  <c r="Q37" i="1"/>
  <c r="Q38" i="1"/>
  <c r="Q39" i="1"/>
  <c r="Q40" i="1"/>
  <c r="Q41" i="1"/>
  <c r="Q42" i="1"/>
  <c r="Q43" i="1"/>
  <c r="Q47" i="1"/>
  <c r="Q51" i="1"/>
  <c r="Q52" i="1"/>
  <c r="Q54" i="1"/>
  <c r="Q55" i="1"/>
  <c r="Q59" i="1"/>
  <c r="Q60" i="1"/>
  <c r="Q61" i="1"/>
  <c r="Q62" i="1"/>
  <c r="Q63" i="1"/>
  <c r="Q64" i="1"/>
  <c r="Q65" i="1"/>
  <c r="Q66" i="1"/>
  <c r="Q67" i="1"/>
  <c r="Q68" i="1"/>
  <c r="Q69" i="1"/>
  <c r="Q71" i="1"/>
  <c r="Q75" i="1"/>
  <c r="Q76" i="1"/>
  <c r="Q77" i="1"/>
  <c r="Q78" i="1"/>
  <c r="Q79" i="1"/>
  <c r="Q80" i="1"/>
  <c r="Q81" i="1"/>
  <c r="Q82" i="1"/>
  <c r="Q83" i="1"/>
  <c r="Q87" i="1"/>
  <c r="Q88" i="1"/>
  <c r="Q89" i="1"/>
  <c r="Q90" i="1"/>
  <c r="Q91" i="1"/>
  <c r="Q92" i="1"/>
  <c r="Q93" i="1"/>
  <c r="Q94" i="1"/>
  <c r="Q95" i="1"/>
  <c r="Q96"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4" i="1"/>
  <c r="Q126" i="1"/>
  <c r="Q127" i="1"/>
  <c r="Q128" i="1"/>
  <c r="Q129" i="1"/>
  <c r="Q130" i="1"/>
  <c r="Q131" i="1"/>
  <c r="Q132" i="1"/>
  <c r="Q133" i="1"/>
  <c r="Q134" i="1"/>
  <c r="Q135" i="1"/>
  <c r="Q136" i="1"/>
  <c r="Q137" i="1"/>
  <c r="Q138" i="1"/>
  <c r="Q139" i="1"/>
  <c r="Q141" i="1"/>
  <c r="Q142" i="1"/>
  <c r="Q143" i="1"/>
  <c r="Q144" i="1"/>
  <c r="Q145" i="1"/>
  <c r="Q146" i="1"/>
  <c r="Q147" i="1"/>
  <c r="Q150" i="1"/>
  <c r="Q151" i="1"/>
  <c r="Q152" i="1"/>
  <c r="Q153" i="1"/>
  <c r="Q154" i="1"/>
  <c r="Q155" i="1"/>
  <c r="Q156" i="1"/>
  <c r="Q157" i="1"/>
  <c r="Q158" i="1"/>
  <c r="Q159" i="1"/>
  <c r="Q161" i="1"/>
  <c r="Q162" i="1"/>
  <c r="Q163" i="1"/>
  <c r="Q164"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3" i="1"/>
  <c r="I82" i="1"/>
  <c r="I81" i="1"/>
  <c r="I80" i="1"/>
  <c r="I79" i="1"/>
  <c r="I78" i="1"/>
  <c r="I77" i="1"/>
  <c r="I76" i="1"/>
  <c r="I75" i="1"/>
  <c r="I71" i="1"/>
  <c r="I70" i="1"/>
  <c r="I69" i="1"/>
  <c r="I68" i="1"/>
  <c r="I67" i="1"/>
  <c r="I66" i="1"/>
  <c r="I65" i="1"/>
  <c r="I64" i="1"/>
  <c r="I63" i="1"/>
  <c r="I62" i="1"/>
  <c r="I61" i="1"/>
  <c r="I60" i="1"/>
  <c r="I59" i="1"/>
  <c r="I55" i="1"/>
  <c r="I54" i="1"/>
  <c r="I53" i="1"/>
  <c r="I52" i="1"/>
  <c r="I51" i="1"/>
  <c r="I50" i="1"/>
  <c r="I49" i="1"/>
  <c r="I48" i="1"/>
  <c r="I47"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M183" i="1" s="1"/>
  <c r="R182" i="1"/>
  <c r="M182" i="1" s="1"/>
  <c r="R181" i="1"/>
  <c r="M181" i="1" s="1"/>
  <c r="R180" i="1"/>
  <c r="M180" i="1" s="1"/>
  <c r="R179" i="1"/>
  <c r="M179" i="1" s="1"/>
  <c r="R178" i="1"/>
  <c r="M178" i="1" s="1"/>
  <c r="R177" i="1"/>
  <c r="M177" i="1" s="1"/>
  <c r="R176" i="1"/>
  <c r="M176" i="1" s="1"/>
  <c r="R175" i="1"/>
  <c r="M175" i="1" s="1"/>
  <c r="R174" i="1"/>
  <c r="M174" i="1" s="1"/>
  <c r="R173" i="1"/>
  <c r="M173" i="1" s="1"/>
  <c r="R172" i="1"/>
  <c r="M172" i="1" s="1"/>
  <c r="R171" i="1"/>
  <c r="M171" i="1" s="1"/>
  <c r="R170" i="1"/>
  <c r="M170" i="1" s="1"/>
  <c r="R169" i="1"/>
  <c r="M169" i="1" s="1"/>
  <c r="R168" i="1"/>
  <c r="M168" i="1" s="1"/>
  <c r="R167" i="1"/>
  <c r="M167" i="1" s="1"/>
  <c r="R166" i="1"/>
  <c r="M166" i="1" s="1"/>
  <c r="R165" i="1"/>
  <c r="M165" i="1" s="1"/>
  <c r="R164" i="1"/>
  <c r="R163" i="1"/>
  <c r="R162" i="1"/>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I33" i="5" s="1"/>
  <c r="N59" i="4"/>
  <c r="I36" i="5" s="1"/>
  <c r="N58" i="4"/>
  <c r="I35" i="5" s="1"/>
  <c r="N57" i="4"/>
  <c r="I29" i="5" s="1"/>
  <c r="N56" i="4"/>
  <c r="I30" i="5" s="1"/>
  <c r="N55" i="4"/>
  <c r="I32" i="5" s="1"/>
  <c r="N54" i="4"/>
  <c r="N53" i="4"/>
  <c r="I39" i="5" s="1"/>
  <c r="N52" i="4"/>
  <c r="N51" i="4"/>
  <c r="N50" i="4"/>
  <c r="N49" i="4"/>
  <c r="N48" i="4"/>
  <c r="N47" i="4"/>
  <c r="N46" i="4"/>
  <c r="N45" i="4"/>
  <c r="N44" i="4"/>
  <c r="N43" i="4"/>
  <c r="N42" i="4"/>
  <c r="N41" i="4"/>
  <c r="N40" i="4"/>
  <c r="N39" i="4"/>
  <c r="N38" i="4"/>
  <c r="N37" i="4"/>
  <c r="N36" i="4"/>
  <c r="I31" i="5" s="1"/>
  <c r="N35" i="4"/>
  <c r="N34" i="4"/>
  <c r="N33" i="4"/>
  <c r="N32" i="4"/>
  <c r="N31" i="4"/>
  <c r="I44" i="5" s="1"/>
  <c r="N30" i="4"/>
  <c r="I46" i="5" s="1"/>
  <c r="N29" i="4"/>
  <c r="N28" i="4"/>
  <c r="N27" i="4"/>
  <c r="N26" i="4"/>
  <c r="N25" i="4"/>
  <c r="N24" i="4"/>
  <c r="I28" i="5" s="1"/>
  <c r="N23" i="4"/>
  <c r="I11" i="5" s="1"/>
  <c r="N22" i="4"/>
  <c r="I10" i="5" s="1"/>
  <c r="N21" i="4"/>
  <c r="I5" i="5" s="1"/>
  <c r="N20" i="4"/>
  <c r="I9" i="5" s="1"/>
  <c r="N19" i="4"/>
  <c r="N18" i="4"/>
  <c r="N17" i="4"/>
  <c r="N16" i="4"/>
  <c r="N15" i="4"/>
  <c r="N14" i="4"/>
  <c r="N13" i="4"/>
  <c r="N12" i="4"/>
  <c r="N11" i="4"/>
  <c r="N10" i="4"/>
  <c r="I47" i="5" s="1"/>
  <c r="N9" i="4"/>
  <c r="N8" i="4"/>
  <c r="N7" i="4"/>
  <c r="N6" i="4"/>
  <c r="N5" i="4"/>
  <c r="N4" i="4"/>
  <c r="X103" i="4"/>
  <c r="Y103" i="4" s="1"/>
  <c r="X102" i="4"/>
  <c r="Y102" i="4" s="1"/>
  <c r="X101" i="4"/>
  <c r="Y101" i="4" s="1"/>
  <c r="X100" i="4"/>
  <c r="Y100" i="4" s="1"/>
  <c r="X99" i="4"/>
  <c r="Y99" i="4" s="1"/>
  <c r="X98" i="4"/>
  <c r="Y98" i="4" s="1"/>
  <c r="X97" i="4"/>
  <c r="Y97" i="4" s="1"/>
  <c r="X96" i="4"/>
  <c r="Y96" i="4" s="1"/>
  <c r="X95" i="4"/>
  <c r="Y95" i="4" s="1"/>
  <c r="X94" i="4"/>
  <c r="Y94" i="4" s="1"/>
  <c r="X93" i="4"/>
  <c r="Y93" i="4" s="1"/>
  <c r="X92" i="4"/>
  <c r="Y92" i="4" s="1"/>
  <c r="X91" i="4"/>
  <c r="Y91" i="4" s="1"/>
  <c r="X90" i="4"/>
  <c r="Y90" i="4" s="1"/>
  <c r="X89" i="4"/>
  <c r="Y89" i="4" s="1"/>
  <c r="X88" i="4"/>
  <c r="Y88" i="4" s="1"/>
  <c r="X87" i="4"/>
  <c r="Y87" i="4" s="1"/>
  <c r="X86" i="4"/>
  <c r="Y86" i="4" s="1"/>
  <c r="X85" i="4"/>
  <c r="Y85" i="4" s="1"/>
  <c r="X84" i="4"/>
  <c r="Y84" i="4" s="1"/>
  <c r="X83" i="4"/>
  <c r="Y83" i="4" s="1"/>
  <c r="X82" i="4"/>
  <c r="Y82" i="4" s="1"/>
  <c r="X81" i="4"/>
  <c r="Y81" i="4" s="1"/>
  <c r="R81" i="4" s="1"/>
  <c r="X80" i="4"/>
  <c r="Y80" i="4" s="1"/>
  <c r="R80" i="4" s="1"/>
  <c r="X79" i="4"/>
  <c r="Y79" i="4" s="1"/>
  <c r="R79" i="4" s="1"/>
  <c r="X78" i="4"/>
  <c r="Y78" i="4" s="1"/>
  <c r="R78" i="4" s="1"/>
  <c r="X77" i="4"/>
  <c r="Y77" i="4" s="1"/>
  <c r="R77" i="4" s="1"/>
  <c r="X76" i="4"/>
  <c r="Y76" i="4" s="1"/>
  <c r="R76" i="4" s="1"/>
  <c r="X75" i="4"/>
  <c r="Y75" i="4" s="1"/>
  <c r="R75" i="4" s="1"/>
  <c r="X74" i="4"/>
  <c r="Y74" i="4" s="1"/>
  <c r="R74" i="4" s="1"/>
  <c r="X73" i="4"/>
  <c r="Y73" i="4" s="1"/>
  <c r="R73" i="4" s="1"/>
  <c r="X72" i="4"/>
  <c r="Y72" i="4" s="1"/>
  <c r="R72" i="4" s="1"/>
  <c r="X71" i="4"/>
  <c r="Y71" i="4" s="1"/>
  <c r="R71" i="4" s="1"/>
  <c r="X70" i="4"/>
  <c r="Y70" i="4" s="1"/>
  <c r="R70" i="4" s="1"/>
  <c r="X69" i="4"/>
  <c r="Y69" i="4" s="1"/>
  <c r="R69" i="4" s="1"/>
  <c r="X68" i="4"/>
  <c r="Y68" i="4" s="1"/>
  <c r="R68" i="4" s="1"/>
  <c r="X67" i="4"/>
  <c r="Y67" i="4" s="1"/>
  <c r="R67" i="4" s="1"/>
  <c r="X66" i="4"/>
  <c r="Y66" i="4" s="1"/>
  <c r="R66" i="4" s="1"/>
  <c r="X65" i="4"/>
  <c r="Y65" i="4" s="1"/>
  <c r="R65" i="4" s="1"/>
  <c r="X64" i="4"/>
  <c r="Y64" i="4" s="1"/>
  <c r="R64" i="4" s="1"/>
  <c r="X63" i="4"/>
  <c r="Y63" i="4" s="1"/>
  <c r="R63" i="4" s="1"/>
  <c r="X62" i="4"/>
  <c r="Y62" i="4" s="1"/>
  <c r="R62" i="4" s="1"/>
  <c r="X61" i="4"/>
  <c r="Y61" i="4" s="1"/>
  <c r="R61" i="4" s="1"/>
  <c r="X60" i="4"/>
  <c r="Y60" i="4" s="1"/>
  <c r="R60" i="4" s="1"/>
  <c r="X59" i="4"/>
  <c r="Y59" i="4" s="1"/>
  <c r="R59" i="4" s="1"/>
  <c r="X58" i="4"/>
  <c r="Y58" i="4" s="1"/>
  <c r="R58" i="4" s="1"/>
  <c r="X57" i="4"/>
  <c r="Y57" i="4" s="1"/>
  <c r="R57" i="4" s="1"/>
  <c r="X56" i="4"/>
  <c r="Y56" i="4" s="1"/>
  <c r="R56" i="4" s="1"/>
  <c r="X55" i="4"/>
  <c r="Y55" i="4" s="1"/>
  <c r="R55" i="4" s="1"/>
  <c r="X54" i="4"/>
  <c r="Y54" i="4" s="1"/>
  <c r="R54" i="4" s="1"/>
  <c r="X53" i="4"/>
  <c r="Y53" i="4" s="1"/>
  <c r="R53" i="4" s="1"/>
  <c r="X52" i="4"/>
  <c r="Y52" i="4" s="1"/>
  <c r="R52" i="4" s="1"/>
  <c r="X51" i="4"/>
  <c r="Y51" i="4" s="1"/>
  <c r="R51" i="4" s="1"/>
  <c r="X50" i="4"/>
  <c r="Y50" i="4" s="1"/>
  <c r="R50" i="4" s="1"/>
  <c r="X49" i="4"/>
  <c r="Y49" i="4" s="1"/>
  <c r="R49" i="4" s="1"/>
  <c r="X48" i="4"/>
  <c r="Y48" i="4" s="1"/>
  <c r="R48" i="4" s="1"/>
  <c r="X47" i="4"/>
  <c r="Y47" i="4" s="1"/>
  <c r="R47" i="4" s="1"/>
  <c r="X46" i="4"/>
  <c r="Y46" i="4" s="1"/>
  <c r="R46" i="4" s="1"/>
  <c r="X45" i="4"/>
  <c r="Y45" i="4" s="1"/>
  <c r="R45" i="4" s="1"/>
  <c r="X44" i="4"/>
  <c r="Y44" i="4" s="1"/>
  <c r="R44" i="4" s="1"/>
  <c r="X43" i="4"/>
  <c r="Y43" i="4" s="1"/>
  <c r="R43" i="4" s="1"/>
  <c r="X42" i="4"/>
  <c r="Y42" i="4" s="1"/>
  <c r="R42" i="4" s="1"/>
  <c r="X41" i="4"/>
  <c r="Y41" i="4" s="1"/>
  <c r="R41" i="4" s="1"/>
  <c r="X40" i="4"/>
  <c r="Y40" i="4" s="1"/>
  <c r="R40" i="4" s="1"/>
  <c r="X39" i="4"/>
  <c r="Y39" i="4" s="1"/>
  <c r="R39" i="4" s="1"/>
  <c r="X38" i="4"/>
  <c r="Y38" i="4" s="1"/>
  <c r="R38" i="4" s="1"/>
  <c r="X37" i="4"/>
  <c r="Y37" i="4" s="1"/>
  <c r="R37" i="4" s="1"/>
  <c r="X36" i="4"/>
  <c r="Y36" i="4" s="1"/>
  <c r="R36" i="4" s="1"/>
  <c r="X35" i="4"/>
  <c r="Y35" i="4" s="1"/>
  <c r="R35" i="4" s="1"/>
  <c r="X34" i="4"/>
  <c r="Y34" i="4" s="1"/>
  <c r="R34" i="4" s="1"/>
  <c r="X33" i="4"/>
  <c r="Y33" i="4" s="1"/>
  <c r="R33" i="4" s="1"/>
  <c r="X32" i="4"/>
  <c r="Y32" i="4" s="1"/>
  <c r="R32" i="4" s="1"/>
  <c r="X31" i="4"/>
  <c r="Y31" i="4" s="1"/>
  <c r="R31" i="4" s="1"/>
  <c r="X30" i="4"/>
  <c r="Y30" i="4" s="1"/>
  <c r="R30" i="4" s="1"/>
  <c r="X29" i="4"/>
  <c r="Y29" i="4" s="1"/>
  <c r="R29" i="4" s="1"/>
  <c r="X28" i="4"/>
  <c r="Y28" i="4" s="1"/>
  <c r="R28" i="4" s="1"/>
  <c r="X27" i="4"/>
  <c r="Y27" i="4" s="1"/>
  <c r="R27" i="4" s="1"/>
  <c r="X26" i="4"/>
  <c r="Y26" i="4" s="1"/>
  <c r="R26" i="4" s="1"/>
  <c r="X25" i="4"/>
  <c r="Y25" i="4" s="1"/>
  <c r="R25" i="4" s="1"/>
  <c r="X24" i="4"/>
  <c r="Y24" i="4" s="1"/>
  <c r="R24" i="4" s="1"/>
  <c r="X23" i="4"/>
  <c r="Y23" i="4" s="1"/>
  <c r="R23" i="4" s="1"/>
  <c r="X22" i="4"/>
  <c r="Y22" i="4" s="1"/>
  <c r="R22" i="4" s="1"/>
  <c r="X21" i="4"/>
  <c r="Y21" i="4" s="1"/>
  <c r="R21" i="4" s="1"/>
  <c r="X20" i="4"/>
  <c r="Y20" i="4" s="1"/>
  <c r="R20" i="4" s="1"/>
  <c r="X19" i="4"/>
  <c r="Y19" i="4" s="1"/>
  <c r="R19" i="4" s="1"/>
  <c r="X18" i="4"/>
  <c r="Y18" i="4" s="1"/>
  <c r="R18" i="4" s="1"/>
  <c r="X17" i="4"/>
  <c r="Y17" i="4" s="1"/>
  <c r="R17" i="4" s="1"/>
  <c r="X16" i="4"/>
  <c r="Y16" i="4" s="1"/>
  <c r="R16" i="4" s="1"/>
  <c r="X15" i="4"/>
  <c r="Y15" i="4" s="1"/>
  <c r="R15" i="4" s="1"/>
  <c r="X14" i="4"/>
  <c r="Y14" i="4" s="1"/>
  <c r="R14" i="4" s="1"/>
  <c r="X13" i="4"/>
  <c r="Y13" i="4" s="1"/>
  <c r="R13" i="4" s="1"/>
  <c r="X9" i="4"/>
  <c r="Y9" i="4" s="1"/>
  <c r="R9" i="4" s="1"/>
  <c r="X8" i="4"/>
  <c r="Y8" i="4" s="1"/>
  <c r="R8" i="4" s="1"/>
  <c r="X7" i="4"/>
  <c r="Y7" i="4" s="1"/>
  <c r="R7" i="4" s="1"/>
  <c r="X6" i="4"/>
  <c r="Y6" i="4" s="1"/>
  <c r="R6" i="4" s="1"/>
  <c r="X5" i="4"/>
  <c r="Y5" i="4" s="1"/>
  <c r="R5" i="4" s="1"/>
  <c r="X4" i="4"/>
  <c r="Y4" i="4" s="1"/>
  <c r="R4" i="4" s="1"/>
  <c r="X3" i="4"/>
  <c r="Y3" i="4" s="1"/>
  <c r="R3" i="4" s="1"/>
  <c r="N36" i="5"/>
  <c r="N11" i="5"/>
  <c r="W23" i="4"/>
  <c r="P23" i="4" s="1"/>
  <c r="Z57" i="2"/>
  <c r="AA57" i="2" s="1"/>
  <c r="N6" i="5"/>
  <c r="P27" i="2"/>
  <c r="Z96" i="2"/>
  <c r="AA96" i="2" s="1"/>
  <c r="P96" i="2" s="1"/>
  <c r="Z95" i="2"/>
  <c r="AA95" i="2" s="1"/>
  <c r="P95" i="2" s="1"/>
  <c r="Z94" i="2"/>
  <c r="AA94" i="2" s="1"/>
  <c r="P94" i="2" s="1"/>
  <c r="Z93" i="2"/>
  <c r="AA93" i="2" s="1"/>
  <c r="P93" i="2" s="1"/>
  <c r="Z92" i="2"/>
  <c r="AA92" i="2" s="1"/>
  <c r="P92" i="2" s="1"/>
  <c r="Z91" i="2"/>
  <c r="AA91" i="2" s="1"/>
  <c r="P91" i="2" s="1"/>
  <c r="Z90" i="2"/>
  <c r="AA90" i="2" s="1"/>
  <c r="P90" i="2" s="1"/>
  <c r="Z77" i="2"/>
  <c r="AA77" i="2" s="1"/>
  <c r="P77" i="2" s="1"/>
  <c r="Z76" i="2"/>
  <c r="AA76" i="2" s="1"/>
  <c r="P76" i="2" s="1"/>
  <c r="Z73" i="2"/>
  <c r="AA73" i="2" s="1"/>
  <c r="P73" i="2" s="1"/>
  <c r="Z72" i="2"/>
  <c r="AA72" i="2" s="1"/>
  <c r="P72" i="2" s="1"/>
  <c r="Z69" i="2"/>
  <c r="AA69" i="2" s="1"/>
  <c r="P69" i="2" s="1"/>
  <c r="Z68" i="2"/>
  <c r="AA68" i="2" s="1"/>
  <c r="P68" i="2" s="1"/>
  <c r="Z62" i="2"/>
  <c r="AA62" i="2" s="1"/>
  <c r="Z55" i="2"/>
  <c r="AA55" i="2" s="1"/>
  <c r="Z54" i="2"/>
  <c r="AA54" i="2" s="1"/>
  <c r="N172" i="5"/>
  <c r="N164" i="5"/>
  <c r="N165" i="5"/>
  <c r="N166" i="5"/>
  <c r="N167" i="5"/>
  <c r="N168" i="5"/>
  <c r="N169" i="5"/>
  <c r="N170" i="5"/>
  <c r="N171" i="5"/>
  <c r="N173" i="5"/>
  <c r="N174" i="5"/>
  <c r="N175" i="5"/>
  <c r="N176" i="5"/>
  <c r="N177" i="5"/>
  <c r="N178" i="5"/>
  <c r="N179" i="5"/>
  <c r="N180" i="5"/>
  <c r="N181" i="5"/>
  <c r="N182" i="5"/>
  <c r="N183" i="5"/>
  <c r="N184" i="5"/>
  <c r="N185" i="5"/>
  <c r="N186" i="5"/>
  <c r="N187" i="5"/>
  <c r="N188" i="5"/>
  <c r="N97" i="2"/>
  <c r="N96" i="2"/>
  <c r="Q140" i="1" s="1"/>
  <c r="M140" i="1" s="1"/>
  <c r="N95" i="2"/>
  <c r="N94" i="2"/>
  <c r="Q148" i="1" s="1"/>
  <c r="M148" i="1" s="1"/>
  <c r="N93" i="2"/>
  <c r="Q125" i="1" s="1"/>
  <c r="M125" i="1" s="1"/>
  <c r="N92" i="2"/>
  <c r="N91" i="2"/>
  <c r="N90" i="2"/>
  <c r="Q123" i="1" s="1"/>
  <c r="M123" i="1" s="1"/>
  <c r="N89" i="2"/>
  <c r="N88" i="2"/>
  <c r="N87" i="2"/>
  <c r="N86" i="2"/>
  <c r="N85" i="2"/>
  <c r="Q160" i="1" s="1"/>
  <c r="M160" i="1" s="1"/>
  <c r="N84" i="2"/>
  <c r="N83" i="2"/>
  <c r="N82" i="2"/>
  <c r="Q149" i="1" s="1"/>
  <c r="M149" i="1" s="1"/>
  <c r="N81" i="2"/>
  <c r="N80" i="2"/>
  <c r="N79" i="2"/>
  <c r="N78" i="2"/>
  <c r="N77" i="2"/>
  <c r="N76" i="2"/>
  <c r="Q25" i="1" s="1"/>
  <c r="M25" i="1" s="1"/>
  <c r="N75" i="2"/>
  <c r="N74" i="2"/>
  <c r="N73" i="2"/>
  <c r="Q27" i="1" s="1"/>
  <c r="M27" i="1" s="1"/>
  <c r="N72" i="2"/>
  <c r="Q26" i="1" s="1"/>
  <c r="M26" i="1" s="1"/>
  <c r="N69" i="2"/>
  <c r="N68" i="2"/>
  <c r="Q32" i="1" s="1"/>
  <c r="M32" i="1" s="1"/>
  <c r="N66" i="2"/>
  <c r="N65" i="2"/>
  <c r="N64" i="2"/>
  <c r="N63" i="2"/>
  <c r="N62" i="2"/>
  <c r="Q24" i="1" s="1"/>
  <c r="M24" i="1" s="1"/>
  <c r="N61" i="2"/>
  <c r="N60" i="2"/>
  <c r="N59" i="2"/>
  <c r="N58" i="2"/>
  <c r="N57" i="2"/>
  <c r="N56" i="2"/>
  <c r="N55" i="2"/>
  <c r="N54" i="2"/>
  <c r="Q70" i="1" s="1"/>
  <c r="M70" i="1" s="1"/>
  <c r="N53" i="2"/>
  <c r="G158" i="5" s="1"/>
  <c r="N52" i="2"/>
  <c r="N51" i="2"/>
  <c r="N50" i="2"/>
  <c r="Q10" i="1" s="1"/>
  <c r="M10" i="1" s="1"/>
  <c r="N49" i="2"/>
  <c r="N48" i="2"/>
  <c r="N47" i="2"/>
  <c r="N46" i="2"/>
  <c r="N45" i="2"/>
  <c r="N44" i="2"/>
  <c r="N43" i="2"/>
  <c r="N41" i="2"/>
  <c r="N40" i="2"/>
  <c r="Q8" i="1" s="1"/>
  <c r="M8" i="1" s="1"/>
  <c r="N39" i="2"/>
  <c r="Q9" i="1" s="1"/>
  <c r="M9" i="1" s="1"/>
  <c r="N37" i="2"/>
  <c r="N36" i="2"/>
  <c r="G131" i="5" s="1"/>
  <c r="N35" i="2"/>
  <c r="G27" i="5" s="1"/>
  <c r="N34" i="2"/>
  <c r="N33" i="2"/>
  <c r="N32" i="2"/>
  <c r="N31" i="2"/>
  <c r="Q97" i="1" s="1"/>
  <c r="M97" i="1" s="1"/>
  <c r="N30" i="2"/>
  <c r="N29" i="2"/>
  <c r="G14" i="5" s="1"/>
  <c r="N28" i="2"/>
  <c r="G9" i="5" s="1"/>
  <c r="N27" i="2"/>
  <c r="G6" i="5" s="1"/>
  <c r="N26" i="2"/>
  <c r="Q6" i="1" s="1"/>
  <c r="M6" i="1" s="1"/>
  <c r="N25" i="2"/>
  <c r="N24" i="2"/>
  <c r="N23" i="2"/>
  <c r="G84" i="5" s="1"/>
  <c r="N22" i="2"/>
  <c r="N21" i="2"/>
  <c r="G83" i="5" s="1"/>
  <c r="N20" i="2"/>
  <c r="N19" i="2"/>
  <c r="N18" i="2"/>
  <c r="N17" i="2"/>
  <c r="N16" i="2"/>
  <c r="N15" i="2"/>
  <c r="N14" i="2"/>
  <c r="N13" i="2"/>
  <c r="N12" i="2"/>
  <c r="G79" i="5" s="1"/>
  <c r="N11" i="2"/>
  <c r="G76" i="5" s="1"/>
  <c r="N10" i="2"/>
  <c r="N9" i="2"/>
  <c r="N8" i="2"/>
  <c r="N7" i="2"/>
  <c r="N6" i="2"/>
  <c r="N5" i="2"/>
  <c r="Q48" i="1" s="1"/>
  <c r="M48" i="1" s="1"/>
  <c r="N4" i="2"/>
  <c r="Q49" i="1" s="1"/>
  <c r="M49" i="1" s="1"/>
  <c r="N3" i="2"/>
  <c r="V4" i="2"/>
  <c r="R4" i="2" s="1"/>
  <c r="V31" i="2"/>
  <c r="R31" i="2" s="1"/>
  <c r="V32" i="2"/>
  <c r="R32" i="2" s="1"/>
  <c r="V43" i="2"/>
  <c r="R43" i="2" s="1"/>
  <c r="V44" i="2"/>
  <c r="R44" i="2" s="1"/>
  <c r="V119" i="2"/>
  <c r="V118" i="2"/>
  <c r="V117" i="2"/>
  <c r="V116" i="2"/>
  <c r="V115" i="2"/>
  <c r="V114" i="2"/>
  <c r="V113" i="2"/>
  <c r="V112" i="2"/>
  <c r="V111" i="2"/>
  <c r="V110" i="2"/>
  <c r="V109" i="2"/>
  <c r="V108" i="2"/>
  <c r="V107" i="2"/>
  <c r="V106" i="2"/>
  <c r="V105" i="2"/>
  <c r="V104" i="2"/>
  <c r="V103" i="2"/>
  <c r="V102" i="2"/>
  <c r="V101" i="2"/>
  <c r="V100" i="2"/>
  <c r="V99" i="2"/>
  <c r="V98" i="2"/>
  <c r="V97" i="2"/>
  <c r="R97" i="2" s="1"/>
  <c r="V96" i="2"/>
  <c r="R96" i="2" s="1"/>
  <c r="V95" i="2"/>
  <c r="R95" i="2" s="1"/>
  <c r="V94" i="2"/>
  <c r="R94" i="2" s="1"/>
  <c r="V93" i="2"/>
  <c r="R93" i="2" s="1"/>
  <c r="V92" i="2"/>
  <c r="R92" i="2" s="1"/>
  <c r="V91" i="2"/>
  <c r="R91" i="2" s="1"/>
  <c r="V90" i="2"/>
  <c r="R90" i="2" s="1"/>
  <c r="V89" i="2"/>
  <c r="R89" i="2" s="1"/>
  <c r="V88" i="2"/>
  <c r="R88" i="2" s="1"/>
  <c r="V87" i="2"/>
  <c r="R87" i="2" s="1"/>
  <c r="V86" i="2"/>
  <c r="R86" i="2" s="1"/>
  <c r="V85" i="2"/>
  <c r="R85" i="2" s="1"/>
  <c r="V84" i="2"/>
  <c r="R84" i="2" s="1"/>
  <c r="V83" i="2"/>
  <c r="R83" i="2" s="1"/>
  <c r="V82" i="2"/>
  <c r="R82" i="2" s="1"/>
  <c r="V81" i="2"/>
  <c r="R81" i="2" s="1"/>
  <c r="V80" i="2"/>
  <c r="R80" i="2" s="1"/>
  <c r="V79" i="2"/>
  <c r="R79" i="2" s="1"/>
  <c r="V78" i="2"/>
  <c r="R78" i="2" s="1"/>
  <c r="V77" i="2"/>
  <c r="R77" i="2" s="1"/>
  <c r="V76" i="2"/>
  <c r="R76" i="2" s="1"/>
  <c r="V75" i="2"/>
  <c r="R75" i="2" s="1"/>
  <c r="V74" i="2"/>
  <c r="R74" i="2" s="1"/>
  <c r="V73" i="2"/>
  <c r="R73" i="2" s="1"/>
  <c r="V72" i="2"/>
  <c r="R72" i="2" s="1"/>
  <c r="V69" i="2"/>
  <c r="R69" i="2" s="1"/>
  <c r="V68" i="2"/>
  <c r="R68" i="2" s="1"/>
  <c r="V66" i="2"/>
  <c r="R66" i="2" s="1"/>
  <c r="V65" i="2"/>
  <c r="R65" i="2" s="1"/>
  <c r="V64" i="2"/>
  <c r="R64" i="2" s="1"/>
  <c r="V63" i="2"/>
  <c r="R63" i="2" s="1"/>
  <c r="V62" i="2"/>
  <c r="R62" i="2" s="1"/>
  <c r="V61" i="2"/>
  <c r="R61" i="2" s="1"/>
  <c r="V60" i="2"/>
  <c r="R60" i="2" s="1"/>
  <c r="V59" i="2"/>
  <c r="R59" i="2" s="1"/>
  <c r="V58" i="2"/>
  <c r="R58" i="2" s="1"/>
  <c r="V57" i="2"/>
  <c r="R57" i="2" s="1"/>
  <c r="V56" i="2"/>
  <c r="R56" i="2" s="1"/>
  <c r="V55" i="2"/>
  <c r="R55" i="2" s="1"/>
  <c r="V54" i="2"/>
  <c r="R54" i="2" s="1"/>
  <c r="V53" i="2"/>
  <c r="R53" i="2" s="1"/>
  <c r="V52" i="2"/>
  <c r="R52" i="2" s="1"/>
  <c r="V51" i="2"/>
  <c r="R51" i="2" s="1"/>
  <c r="V50" i="2"/>
  <c r="R50" i="2" s="1"/>
  <c r="V49" i="2"/>
  <c r="R49" i="2" s="1"/>
  <c r="V48" i="2"/>
  <c r="R48" i="2" s="1"/>
  <c r="V47" i="2"/>
  <c r="R47" i="2" s="1"/>
  <c r="V46" i="2"/>
  <c r="R46" i="2" s="1"/>
  <c r="V45" i="2"/>
  <c r="R45" i="2" s="1"/>
  <c r="V41" i="2"/>
  <c r="R41" i="2" s="1"/>
  <c r="V40" i="2"/>
  <c r="R40" i="2" s="1"/>
  <c r="V39" i="2"/>
  <c r="R39" i="2" s="1"/>
  <c r="V37" i="2"/>
  <c r="R37" i="2" s="1"/>
  <c r="V36" i="2"/>
  <c r="R36" i="2" s="1"/>
  <c r="V35" i="2"/>
  <c r="R35" i="2" s="1"/>
  <c r="V34" i="2"/>
  <c r="R34" i="2" s="1"/>
  <c r="V33" i="2"/>
  <c r="R33" i="2" s="1"/>
  <c r="V30" i="2"/>
  <c r="R30" i="2" s="1"/>
  <c r="V29" i="2"/>
  <c r="R29" i="2" s="1"/>
  <c r="V28" i="2"/>
  <c r="R28" i="2" s="1"/>
  <c r="V27" i="2"/>
  <c r="R27" i="2" s="1"/>
  <c r="V26" i="2"/>
  <c r="R26" i="2" s="1"/>
  <c r="V25" i="2"/>
  <c r="R25" i="2" s="1"/>
  <c r="V24" i="2"/>
  <c r="R24" i="2" s="1"/>
  <c r="V23" i="2"/>
  <c r="R23" i="2" s="1"/>
  <c r="V22" i="2"/>
  <c r="R22" i="2" s="1"/>
  <c r="V21" i="2"/>
  <c r="R21" i="2" s="1"/>
  <c r="V20" i="2"/>
  <c r="R20" i="2" s="1"/>
  <c r="V19" i="2"/>
  <c r="R19" i="2" s="1"/>
  <c r="V18" i="2"/>
  <c r="R18" i="2" s="1"/>
  <c r="V17" i="2"/>
  <c r="R17" i="2" s="1"/>
  <c r="V16" i="2"/>
  <c r="R16" i="2" s="1"/>
  <c r="V15" i="2"/>
  <c r="R15" i="2" s="1"/>
  <c r="V14" i="2"/>
  <c r="R14" i="2" s="1"/>
  <c r="V13" i="2"/>
  <c r="R13" i="2" s="1"/>
  <c r="V12" i="2"/>
  <c r="R12" i="2" s="1"/>
  <c r="V11" i="2"/>
  <c r="R11" i="2" s="1"/>
  <c r="V10" i="2"/>
  <c r="R10" i="2" s="1"/>
  <c r="V9" i="2"/>
  <c r="R9" i="2" s="1"/>
  <c r="V8" i="2"/>
  <c r="R8" i="2" s="1"/>
  <c r="V6" i="2"/>
  <c r="R6" i="2" s="1"/>
  <c r="V5" i="2"/>
  <c r="R5" i="2" s="1"/>
  <c r="V3" i="2"/>
  <c r="R3" i="2" s="1"/>
  <c r="V7" i="2"/>
  <c r="R7" i="2" s="1"/>
  <c r="N163" i="5"/>
  <c r="N160" i="5"/>
  <c r="N159" i="5"/>
  <c r="N157" i="5"/>
  <c r="N156" i="5"/>
  <c r="N155" i="5"/>
  <c r="N154" i="5"/>
  <c r="N153" i="5"/>
  <c r="N152" i="5"/>
  <c r="N151" i="5"/>
  <c r="N150" i="5"/>
  <c r="N149" i="5"/>
  <c r="N148" i="5"/>
  <c r="N145" i="5"/>
  <c r="N144" i="5"/>
  <c r="N143" i="5"/>
  <c r="N142" i="5"/>
  <c r="N141" i="5"/>
  <c r="N140" i="5"/>
  <c r="N139" i="5"/>
  <c r="N138" i="5"/>
  <c r="N137" i="5"/>
  <c r="N136" i="5"/>
  <c r="N135" i="5"/>
  <c r="N134" i="5"/>
  <c r="N133" i="5"/>
  <c r="N132" i="5"/>
  <c r="N131" i="5"/>
  <c r="N130" i="5"/>
  <c r="N129" i="5"/>
  <c r="N128" i="5"/>
  <c r="N127" i="5"/>
  <c r="N126" i="5"/>
  <c r="N125" i="5"/>
  <c r="N124" i="5"/>
  <c r="N123" i="5"/>
  <c r="N122" i="5"/>
  <c r="N121" i="5"/>
  <c r="N120" i="5"/>
  <c r="N119" i="5"/>
  <c r="N116" i="5"/>
  <c r="N115" i="5"/>
  <c r="N114" i="5"/>
  <c r="N113" i="5"/>
  <c r="N112" i="5"/>
  <c r="N111" i="5"/>
  <c r="N110" i="5"/>
  <c r="N109" i="5"/>
  <c r="N108" i="5"/>
  <c r="N107" i="5"/>
  <c r="N106" i="5"/>
  <c r="N105" i="5"/>
  <c r="N104" i="5"/>
  <c r="N103" i="5"/>
  <c r="N102" i="5"/>
  <c r="N101" i="5"/>
  <c r="N100" i="5"/>
  <c r="N99" i="5"/>
  <c r="N98" i="5"/>
  <c r="N97" i="5"/>
  <c r="N96" i="5"/>
  <c r="N95" i="5"/>
  <c r="N94" i="5"/>
  <c r="N93" i="5"/>
  <c r="N92" i="5"/>
  <c r="N91" i="5"/>
  <c r="N90" i="5"/>
  <c r="N86" i="5"/>
  <c r="N81" i="5"/>
  <c r="N80" i="5"/>
  <c r="N79" i="5"/>
  <c r="N78" i="5"/>
  <c r="N77" i="5"/>
  <c r="N76" i="5"/>
  <c r="N75" i="5"/>
  <c r="N74" i="5"/>
  <c r="N71" i="5"/>
  <c r="N70" i="5"/>
  <c r="N68" i="5"/>
  <c r="N67" i="5"/>
  <c r="N66" i="5"/>
  <c r="N65" i="5"/>
  <c r="N64" i="5"/>
  <c r="N63" i="5"/>
  <c r="N62" i="5"/>
  <c r="N61" i="5"/>
  <c r="N60" i="5"/>
  <c r="N59" i="5"/>
  <c r="N58" i="5"/>
  <c r="N57" i="5"/>
  <c r="N56" i="5"/>
  <c r="N55" i="5"/>
  <c r="N54" i="5"/>
  <c r="N53" i="5"/>
  <c r="N52" i="5"/>
  <c r="N51" i="5"/>
  <c r="N47" i="5"/>
  <c r="N46" i="5"/>
  <c r="N45" i="5"/>
  <c r="N44" i="5"/>
  <c r="N43" i="5"/>
  <c r="N42" i="5"/>
  <c r="N41" i="5"/>
  <c r="N40" i="5"/>
  <c r="N39" i="5"/>
  <c r="N38" i="5"/>
  <c r="N37" i="5"/>
  <c r="N35" i="5"/>
  <c r="N34" i="5"/>
  <c r="N33" i="5"/>
  <c r="N32" i="5"/>
  <c r="N31" i="5"/>
  <c r="N30" i="5"/>
  <c r="N29" i="5"/>
  <c r="N28" i="5"/>
  <c r="N27" i="5"/>
  <c r="N26" i="5"/>
  <c r="N25" i="5"/>
  <c r="N24" i="5"/>
  <c r="N23" i="5"/>
  <c r="N22" i="5"/>
  <c r="N21" i="5"/>
  <c r="N20" i="5"/>
  <c r="N19" i="5"/>
  <c r="N18" i="5"/>
  <c r="N17" i="5"/>
  <c r="N16" i="5"/>
  <c r="N15" i="5"/>
  <c r="N14" i="5"/>
  <c r="N13" i="5"/>
  <c r="N12" i="5"/>
  <c r="N10" i="5"/>
  <c r="N9" i="5"/>
  <c r="N8" i="5"/>
  <c r="N7" i="5"/>
  <c r="N4" i="5"/>
  <c r="K5" i="5"/>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22" i="1"/>
  <c r="K95" i="1"/>
  <c r="K94" i="1"/>
  <c r="K93" i="1"/>
  <c r="K92" i="1"/>
  <c r="K91" i="1"/>
  <c r="K90" i="1"/>
  <c r="K89" i="1"/>
  <c r="K88" i="1"/>
  <c r="K87" i="1"/>
  <c r="K83" i="1"/>
  <c r="K82" i="1"/>
  <c r="K81" i="1"/>
  <c r="K80" i="1"/>
  <c r="K79" i="1"/>
  <c r="K78" i="1"/>
  <c r="K77" i="1"/>
  <c r="K76" i="1"/>
  <c r="K75" i="1"/>
  <c r="K59" i="1"/>
  <c r="K47" i="1"/>
  <c r="K41" i="1"/>
  <c r="K10" i="1"/>
  <c r="K7" i="1"/>
  <c r="K4" i="1"/>
  <c r="K3" i="1"/>
  <c r="K42" i="1"/>
  <c r="K43" i="1"/>
  <c r="K40" i="1"/>
  <c r="K39" i="1"/>
  <c r="K71" i="1"/>
  <c r="K70" i="1"/>
  <c r="K69" i="1"/>
  <c r="K68" i="1"/>
  <c r="K67" i="1"/>
  <c r="K66" i="1"/>
  <c r="K65" i="1"/>
  <c r="K64" i="1"/>
  <c r="K63" i="1"/>
  <c r="K62" i="1"/>
  <c r="K61" i="1"/>
  <c r="K60"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55" i="1"/>
  <c r="K54" i="1"/>
  <c r="K53" i="1"/>
  <c r="K52" i="1"/>
  <c r="K51" i="1"/>
  <c r="K50" i="1"/>
  <c r="K49" i="1"/>
  <c r="K48" i="1"/>
  <c r="P52" i="2"/>
  <c r="K21" i="1"/>
  <c r="K8" i="1"/>
  <c r="K9" i="1"/>
  <c r="W12" i="4"/>
  <c r="P12" i="4" s="1"/>
  <c r="K38" i="1"/>
  <c r="K34" i="1"/>
  <c r="K37" i="1"/>
  <c r="K36" i="1"/>
  <c r="K35" i="1"/>
  <c r="K33" i="1"/>
  <c r="K32" i="1"/>
  <c r="K31" i="1"/>
  <c r="K30" i="1"/>
  <c r="K29" i="1"/>
  <c r="K28" i="1"/>
  <c r="K27" i="1"/>
  <c r="K26" i="1"/>
  <c r="K25" i="1"/>
  <c r="K24" i="1"/>
  <c r="K23" i="1"/>
  <c r="K20" i="1"/>
  <c r="K19" i="1"/>
  <c r="K18" i="1"/>
  <c r="K22" i="1"/>
  <c r="K17" i="1"/>
  <c r="K16" i="1"/>
  <c r="K15" i="1"/>
  <c r="K5" i="1"/>
  <c r="K14" i="1"/>
  <c r="K13" i="1"/>
  <c r="K12" i="1"/>
  <c r="K11" i="1"/>
  <c r="K6"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G69" i="5" l="1"/>
  <c r="R149" i="1"/>
  <c r="M164" i="1"/>
  <c r="G3" i="5"/>
  <c r="Q53" i="1"/>
  <c r="M53" i="1" s="1"/>
  <c r="G4" i="5"/>
  <c r="G12" i="5"/>
  <c r="G20" i="5"/>
  <c r="G28" i="5"/>
  <c r="G36" i="5"/>
  <c r="G44" i="5"/>
  <c r="G55" i="5"/>
  <c r="G63" i="5"/>
  <c r="G74" i="5"/>
  <c r="G82" i="5"/>
  <c r="G93" i="5"/>
  <c r="G101" i="5"/>
  <c r="G109" i="5"/>
  <c r="G119" i="5"/>
  <c r="G127" i="5"/>
  <c r="G135" i="5"/>
  <c r="G143" i="5"/>
  <c r="G153" i="5"/>
  <c r="G171" i="5"/>
  <c r="G179" i="5"/>
  <c r="Q16" i="1"/>
  <c r="M16" i="1" s="1"/>
  <c r="G5" i="5"/>
  <c r="G13" i="5"/>
  <c r="G21" i="5"/>
  <c r="G29" i="5"/>
  <c r="G37" i="5"/>
  <c r="G45" i="5"/>
  <c r="G56" i="5"/>
  <c r="G64" i="5"/>
  <c r="G75" i="5"/>
  <c r="G94" i="5"/>
  <c r="G102" i="5"/>
  <c r="G110" i="5"/>
  <c r="G120" i="5"/>
  <c r="G128" i="5"/>
  <c r="G136" i="5"/>
  <c r="G144" i="5"/>
  <c r="G154" i="5"/>
  <c r="G164" i="5"/>
  <c r="G172" i="5"/>
  <c r="G180" i="5"/>
  <c r="Q50" i="1"/>
  <c r="M50" i="1" s="1"/>
  <c r="G22" i="5"/>
  <c r="G30" i="5"/>
  <c r="G38" i="5"/>
  <c r="G46" i="5"/>
  <c r="G57" i="5"/>
  <c r="G65" i="5"/>
  <c r="G95" i="5"/>
  <c r="G103" i="5"/>
  <c r="G111" i="5"/>
  <c r="G121" i="5"/>
  <c r="G129" i="5"/>
  <c r="G137" i="5"/>
  <c r="G155" i="5"/>
  <c r="G165" i="5"/>
  <c r="G173" i="5"/>
  <c r="G181" i="5"/>
  <c r="Q13" i="1"/>
  <c r="M13" i="1" s="1"/>
  <c r="G7" i="5"/>
  <c r="G15" i="5"/>
  <c r="G23" i="5"/>
  <c r="G31" i="5"/>
  <c r="G39" i="5"/>
  <c r="G47" i="5"/>
  <c r="G58" i="5"/>
  <c r="G66" i="5"/>
  <c r="G77" i="5"/>
  <c r="G96" i="5"/>
  <c r="G104" i="5"/>
  <c r="G112" i="5"/>
  <c r="G122" i="5"/>
  <c r="G130" i="5"/>
  <c r="G138" i="5"/>
  <c r="G148" i="5"/>
  <c r="G156" i="5"/>
  <c r="G166" i="5"/>
  <c r="G174" i="5"/>
  <c r="G182" i="5"/>
  <c r="G8" i="5"/>
  <c r="G16" i="5"/>
  <c r="G24" i="5"/>
  <c r="G32" i="5"/>
  <c r="G40" i="5"/>
  <c r="G51" i="5"/>
  <c r="G59" i="5"/>
  <c r="G67" i="5"/>
  <c r="G78" i="5"/>
  <c r="G97" i="5"/>
  <c r="G105" i="5"/>
  <c r="G113" i="5"/>
  <c r="G123" i="5"/>
  <c r="G139" i="5"/>
  <c r="G149" i="5"/>
  <c r="G157" i="5"/>
  <c r="G167" i="5"/>
  <c r="G175" i="5"/>
  <c r="G183" i="5"/>
  <c r="G17" i="5"/>
  <c r="G25" i="5"/>
  <c r="G33" i="5"/>
  <c r="G41" i="5"/>
  <c r="G52" i="5"/>
  <c r="G60" i="5"/>
  <c r="G68" i="5"/>
  <c r="G90" i="5"/>
  <c r="G98" i="5"/>
  <c r="G106" i="5"/>
  <c r="G114" i="5"/>
  <c r="G124" i="5"/>
  <c r="G132" i="5"/>
  <c r="G140" i="5"/>
  <c r="G150" i="5"/>
  <c r="G168" i="5"/>
  <c r="G176" i="5"/>
  <c r="G184" i="5"/>
  <c r="G10" i="5"/>
  <c r="G18" i="5"/>
  <c r="G26" i="5"/>
  <c r="G34" i="5"/>
  <c r="G42" i="5"/>
  <c r="G53" i="5"/>
  <c r="G61" i="5"/>
  <c r="G70" i="5"/>
  <c r="G80" i="5"/>
  <c r="G91" i="5"/>
  <c r="G99" i="5"/>
  <c r="G107" i="5"/>
  <c r="G115" i="5"/>
  <c r="G125" i="5"/>
  <c r="G133" i="5"/>
  <c r="G141" i="5"/>
  <c r="G151" i="5"/>
  <c r="G159" i="5"/>
  <c r="G169" i="5"/>
  <c r="G177" i="5"/>
  <c r="G185" i="5"/>
  <c r="Q5" i="1"/>
  <c r="M5" i="1" s="1"/>
  <c r="G11" i="5"/>
  <c r="G19" i="5"/>
  <c r="G35" i="5"/>
  <c r="G43" i="5"/>
  <c r="G54" i="5"/>
  <c r="G62" i="5"/>
  <c r="G81" i="5"/>
  <c r="G92" i="5"/>
  <c r="G100" i="5"/>
  <c r="G108" i="5"/>
  <c r="G126" i="5"/>
  <c r="G134" i="5"/>
  <c r="G142" i="5"/>
  <c r="G152" i="5"/>
  <c r="G160" i="5"/>
  <c r="G170" i="5"/>
  <c r="G178" i="5"/>
  <c r="G186" i="5"/>
  <c r="M162" i="1"/>
  <c r="M163" i="1"/>
  <c r="W50" i="4"/>
  <c r="P50" i="4" s="1"/>
  <c r="R10" i="1"/>
  <c r="R26" i="1"/>
  <c r="R42" i="1"/>
  <c r="M42" i="1" s="1"/>
  <c r="R64" i="1"/>
  <c r="M64" i="1" s="1"/>
  <c r="R83" i="1"/>
  <c r="M83" i="1" s="1"/>
  <c r="R102" i="1"/>
  <c r="M102" i="1" s="1"/>
  <c r="R118" i="1"/>
  <c r="M118" i="1" s="1"/>
  <c r="R134" i="1"/>
  <c r="M134" i="1" s="1"/>
  <c r="R150" i="1"/>
  <c r="M150" i="1" s="1"/>
  <c r="W25" i="4"/>
  <c r="P25" i="4" s="1"/>
  <c r="W51" i="4"/>
  <c r="P51" i="4" s="1"/>
  <c r="R11" i="1"/>
  <c r="M11" i="1" s="1"/>
  <c r="R27" i="1"/>
  <c r="R43" i="1"/>
  <c r="M43" i="1" s="1"/>
  <c r="R65" i="1"/>
  <c r="M65" i="1" s="1"/>
  <c r="R87" i="1"/>
  <c r="M87" i="1" s="1"/>
  <c r="R103" i="1"/>
  <c r="M103" i="1" s="1"/>
  <c r="R119" i="1"/>
  <c r="M119" i="1" s="1"/>
  <c r="R135" i="1"/>
  <c r="M135" i="1" s="1"/>
  <c r="R151" i="1"/>
  <c r="M151" i="1" s="1"/>
  <c r="W26" i="4"/>
  <c r="P26" i="4" s="1"/>
  <c r="W52" i="4"/>
  <c r="P52" i="4" s="1"/>
  <c r="R12" i="1"/>
  <c r="M12" i="1" s="1"/>
  <c r="R28" i="1"/>
  <c r="M28" i="1" s="1"/>
  <c r="R47" i="1"/>
  <c r="M47" i="1" s="1"/>
  <c r="R66" i="1"/>
  <c r="M66" i="1" s="1"/>
  <c r="R88" i="1"/>
  <c r="M88" i="1" s="1"/>
  <c r="R104" i="1"/>
  <c r="M104" i="1" s="1"/>
  <c r="R120" i="1"/>
  <c r="M120" i="1" s="1"/>
  <c r="R136" i="1"/>
  <c r="M136" i="1" s="1"/>
  <c r="R152" i="1"/>
  <c r="M152" i="1" s="1"/>
  <c r="W27" i="4"/>
  <c r="P27" i="4" s="1"/>
  <c r="R13" i="1"/>
  <c r="R29" i="1"/>
  <c r="M29" i="1" s="1"/>
  <c r="R48" i="1"/>
  <c r="R67" i="1"/>
  <c r="M67" i="1" s="1"/>
  <c r="R89" i="1"/>
  <c r="M89" i="1" s="1"/>
  <c r="R105" i="1"/>
  <c r="M105" i="1" s="1"/>
  <c r="R121" i="1"/>
  <c r="M121" i="1" s="1"/>
  <c r="R137" i="1"/>
  <c r="M137" i="1" s="1"/>
  <c r="R153" i="1"/>
  <c r="M153" i="1" s="1"/>
  <c r="W28" i="4"/>
  <c r="P28" i="4" s="1"/>
  <c r="W60" i="4"/>
  <c r="P60" i="4" s="1"/>
  <c r="R14" i="1"/>
  <c r="M14" i="1" s="1"/>
  <c r="R30" i="1"/>
  <c r="M30" i="1" s="1"/>
  <c r="R49" i="1"/>
  <c r="R68" i="1"/>
  <c r="M68" i="1" s="1"/>
  <c r="R90" i="1"/>
  <c r="M90" i="1" s="1"/>
  <c r="R106" i="1"/>
  <c r="M106" i="1" s="1"/>
  <c r="R122" i="1"/>
  <c r="M122" i="1" s="1"/>
  <c r="R138" i="1"/>
  <c r="M138" i="1" s="1"/>
  <c r="R154" i="1"/>
  <c r="M154" i="1" s="1"/>
  <c r="W29" i="4"/>
  <c r="P29" i="4" s="1"/>
  <c r="W61" i="4"/>
  <c r="P61" i="4" s="1"/>
  <c r="R15" i="1"/>
  <c r="M15" i="1" s="1"/>
  <c r="R31" i="1"/>
  <c r="M31" i="1" s="1"/>
  <c r="R50" i="1"/>
  <c r="R69" i="1"/>
  <c r="M69" i="1" s="1"/>
  <c r="R91" i="1"/>
  <c r="M91" i="1" s="1"/>
  <c r="R107" i="1"/>
  <c r="M107" i="1" s="1"/>
  <c r="R123" i="1"/>
  <c r="R139" i="1"/>
  <c r="M139" i="1" s="1"/>
  <c r="R155" i="1"/>
  <c r="M155" i="1" s="1"/>
  <c r="W32" i="4"/>
  <c r="P32" i="4" s="1"/>
  <c r="W62" i="4"/>
  <c r="P62" i="4" s="1"/>
  <c r="R16" i="1"/>
  <c r="R32" i="1"/>
  <c r="R51" i="1"/>
  <c r="M51" i="1" s="1"/>
  <c r="R70" i="1"/>
  <c r="R92" i="1"/>
  <c r="M92" i="1" s="1"/>
  <c r="R108" i="1"/>
  <c r="M108" i="1" s="1"/>
  <c r="R124" i="1"/>
  <c r="M124" i="1" s="1"/>
  <c r="R140" i="1"/>
  <c r="R156" i="1"/>
  <c r="M156" i="1" s="1"/>
  <c r="W33" i="4"/>
  <c r="P33" i="4" s="1"/>
  <c r="W63" i="4"/>
  <c r="P63" i="4" s="1"/>
  <c r="R17" i="1"/>
  <c r="M17" i="1" s="1"/>
  <c r="R33" i="1"/>
  <c r="M33" i="1" s="1"/>
  <c r="R52" i="1"/>
  <c r="M52" i="1" s="1"/>
  <c r="R71" i="1"/>
  <c r="M71" i="1" s="1"/>
  <c r="R93" i="1"/>
  <c r="M93" i="1" s="1"/>
  <c r="R109" i="1"/>
  <c r="M109" i="1" s="1"/>
  <c r="R125" i="1"/>
  <c r="R141" i="1"/>
  <c r="M141" i="1" s="1"/>
  <c r="R157" i="1"/>
  <c r="M157" i="1" s="1"/>
  <c r="W34" i="4"/>
  <c r="P34" i="4" s="1"/>
  <c r="W64" i="4"/>
  <c r="P64" i="4" s="1"/>
  <c r="R18" i="1"/>
  <c r="M18" i="1" s="1"/>
  <c r="R34" i="1"/>
  <c r="M34" i="1" s="1"/>
  <c r="R53" i="1"/>
  <c r="R75" i="1"/>
  <c r="M75" i="1" s="1"/>
  <c r="R94" i="1"/>
  <c r="M94" i="1" s="1"/>
  <c r="R110" i="1"/>
  <c r="M110" i="1" s="1"/>
  <c r="R126" i="1"/>
  <c r="M126" i="1" s="1"/>
  <c r="R142" i="1"/>
  <c r="M142" i="1" s="1"/>
  <c r="R158" i="1"/>
  <c r="M158" i="1" s="1"/>
  <c r="W13" i="4"/>
  <c r="P13" i="4" s="1"/>
  <c r="W35" i="4"/>
  <c r="P35" i="4" s="1"/>
  <c r="W65" i="4"/>
  <c r="P65" i="4" s="1"/>
  <c r="R6" i="1"/>
  <c r="R19" i="1"/>
  <c r="M19" i="1" s="1"/>
  <c r="R35" i="1"/>
  <c r="M35" i="1" s="1"/>
  <c r="R54" i="1"/>
  <c r="M54" i="1" s="1"/>
  <c r="R76" i="1"/>
  <c r="M76" i="1" s="1"/>
  <c r="R95" i="1"/>
  <c r="M95" i="1" s="1"/>
  <c r="R111" i="1"/>
  <c r="M111" i="1" s="1"/>
  <c r="R127" i="1"/>
  <c r="M127" i="1" s="1"/>
  <c r="R143" i="1"/>
  <c r="M143" i="1" s="1"/>
  <c r="R159" i="1"/>
  <c r="M159" i="1" s="1"/>
  <c r="W14" i="4"/>
  <c r="P14" i="4" s="1"/>
  <c r="W37" i="4"/>
  <c r="P37" i="4" s="1"/>
  <c r="R3" i="1"/>
  <c r="M3" i="1" s="1"/>
  <c r="R20" i="1"/>
  <c r="M20" i="1" s="1"/>
  <c r="R36" i="1"/>
  <c r="M36" i="1" s="1"/>
  <c r="R55" i="1"/>
  <c r="M55" i="1" s="1"/>
  <c r="R77" i="1"/>
  <c r="M77" i="1" s="1"/>
  <c r="R96" i="1"/>
  <c r="M96" i="1" s="1"/>
  <c r="R112" i="1"/>
  <c r="M112" i="1" s="1"/>
  <c r="R128" i="1"/>
  <c r="M128" i="1" s="1"/>
  <c r="R144" i="1"/>
  <c r="M144" i="1" s="1"/>
  <c r="R160" i="1"/>
  <c r="W15" i="4"/>
  <c r="P15" i="4" s="1"/>
  <c r="W45" i="4"/>
  <c r="P45" i="4" s="1"/>
  <c r="R4" i="1"/>
  <c r="M4" i="1" s="1"/>
  <c r="R21" i="1"/>
  <c r="M21" i="1" s="1"/>
  <c r="R37" i="1"/>
  <c r="M37" i="1" s="1"/>
  <c r="R59" i="1"/>
  <c r="M59" i="1" s="1"/>
  <c r="R78" i="1"/>
  <c r="M78" i="1" s="1"/>
  <c r="R97" i="1"/>
  <c r="R113" i="1"/>
  <c r="M113" i="1" s="1"/>
  <c r="R129" i="1"/>
  <c r="M129" i="1" s="1"/>
  <c r="R145" i="1"/>
  <c r="M145" i="1" s="1"/>
  <c r="R161" i="1"/>
  <c r="M161" i="1" s="1"/>
  <c r="W16" i="4"/>
  <c r="P16" i="4" s="1"/>
  <c r="W46" i="4"/>
  <c r="P46" i="4" s="1"/>
  <c r="R5" i="1"/>
  <c r="R22" i="1"/>
  <c r="M22" i="1" s="1"/>
  <c r="R38" i="1"/>
  <c r="M38" i="1" s="1"/>
  <c r="R60" i="1"/>
  <c r="M60" i="1" s="1"/>
  <c r="R79" i="1"/>
  <c r="M79" i="1" s="1"/>
  <c r="R98" i="1"/>
  <c r="M98" i="1" s="1"/>
  <c r="R114" i="1"/>
  <c r="M114" i="1" s="1"/>
  <c r="R130" i="1"/>
  <c r="M130" i="1" s="1"/>
  <c r="R146" i="1"/>
  <c r="M146" i="1" s="1"/>
  <c r="W17" i="4"/>
  <c r="P17" i="4" s="1"/>
  <c r="W47" i="4"/>
  <c r="P47" i="4" s="1"/>
  <c r="R7" i="1"/>
  <c r="M7" i="1" s="1"/>
  <c r="R23" i="1"/>
  <c r="M23" i="1" s="1"/>
  <c r="R39" i="1"/>
  <c r="M39" i="1" s="1"/>
  <c r="R61" i="1"/>
  <c r="M61" i="1" s="1"/>
  <c r="R80" i="1"/>
  <c r="M80" i="1" s="1"/>
  <c r="R99" i="1"/>
  <c r="M99" i="1" s="1"/>
  <c r="R115" i="1"/>
  <c r="M115" i="1" s="1"/>
  <c r="R131" i="1"/>
  <c r="M131" i="1" s="1"/>
  <c r="R147" i="1"/>
  <c r="M147" i="1" s="1"/>
  <c r="W18" i="4"/>
  <c r="P18" i="4" s="1"/>
  <c r="W48" i="4"/>
  <c r="P48" i="4" s="1"/>
  <c r="R8" i="1"/>
  <c r="R24" i="1"/>
  <c r="R40" i="1"/>
  <c r="M40" i="1" s="1"/>
  <c r="R62" i="1"/>
  <c r="M62" i="1" s="1"/>
  <c r="R81" i="1"/>
  <c r="M81" i="1" s="1"/>
  <c r="R100" i="1"/>
  <c r="M100" i="1" s="1"/>
  <c r="R116" i="1"/>
  <c r="M116" i="1" s="1"/>
  <c r="R132" i="1"/>
  <c r="M132" i="1" s="1"/>
  <c r="R148" i="1"/>
  <c r="W19" i="4"/>
  <c r="P19" i="4" s="1"/>
  <c r="W49" i="4"/>
  <c r="P49" i="4" s="1"/>
  <c r="R9" i="1"/>
  <c r="R25" i="1"/>
  <c r="R41" i="1"/>
  <c r="M41" i="1" s="1"/>
  <c r="R63" i="1"/>
  <c r="M63" i="1" s="1"/>
  <c r="R82" i="1"/>
  <c r="M82" i="1" s="1"/>
  <c r="R101" i="1"/>
  <c r="M101" i="1" s="1"/>
  <c r="R117" i="1"/>
  <c r="M117" i="1" s="1"/>
  <c r="R133" i="1"/>
  <c r="M133" i="1" s="1"/>
  <c r="W30" i="4"/>
  <c r="P30" i="4" s="1"/>
  <c r="W53" i="4"/>
  <c r="P53" i="4" s="1"/>
  <c r="W31" i="4"/>
  <c r="P31" i="4" s="1"/>
  <c r="W54" i="4"/>
  <c r="P54" i="4" s="1"/>
  <c r="W55" i="4"/>
  <c r="P55" i="4" s="1"/>
  <c r="W56" i="4"/>
  <c r="P56" i="4" s="1"/>
  <c r="W57" i="4"/>
  <c r="P57" i="4" s="1"/>
  <c r="W58" i="4"/>
  <c r="P58" i="4" s="1"/>
  <c r="W36" i="4"/>
  <c r="P36" i="4" s="1"/>
  <c r="W24" i="4"/>
  <c r="P24" i="4" s="1"/>
  <c r="W20" i="4"/>
  <c r="P20" i="4" s="1"/>
  <c r="W21" i="4"/>
  <c r="P21" i="4" s="1"/>
  <c r="W22" i="4"/>
  <c r="P22" i="4" s="1"/>
  <c r="W10" i="4"/>
  <c r="P10" i="4" s="1"/>
  <c r="W11" i="4"/>
  <c r="P11" i="4" s="1"/>
  <c r="P11" i="2"/>
  <c r="P41" i="2"/>
  <c r="P58" i="2"/>
  <c r="P12" i="2"/>
  <c r="P43" i="2"/>
  <c r="P59" i="2"/>
  <c r="P13" i="2"/>
  <c r="P26" i="2"/>
  <c r="P44" i="2"/>
  <c r="P60" i="2"/>
  <c r="P14" i="2"/>
  <c r="P45" i="2"/>
  <c r="P61" i="2"/>
  <c r="P15" i="2"/>
  <c r="P28" i="2"/>
  <c r="P46" i="2"/>
  <c r="P62" i="2"/>
  <c r="P16" i="2"/>
  <c r="P29" i="2"/>
  <c r="P47" i="2"/>
  <c r="P63" i="2"/>
  <c r="P17" i="2"/>
  <c r="P30" i="2"/>
  <c r="P48" i="2"/>
  <c r="P64" i="2"/>
  <c r="P18" i="2"/>
  <c r="P31" i="2"/>
  <c r="P49" i="2"/>
  <c r="P65" i="2"/>
  <c r="P19" i="2"/>
  <c r="P32" i="2"/>
  <c r="P50" i="2"/>
  <c r="P66" i="2"/>
  <c r="P4" i="2"/>
  <c r="P20" i="2"/>
  <c r="P33" i="2"/>
  <c r="P51" i="2"/>
  <c r="P5" i="2"/>
  <c r="P21" i="2"/>
  <c r="P34" i="2"/>
  <c r="P6" i="2"/>
  <c r="P22" i="2"/>
  <c r="P35" i="2"/>
  <c r="P53" i="2"/>
  <c r="P7" i="2"/>
  <c r="P23" i="2"/>
  <c r="P36" i="2"/>
  <c r="P54" i="2"/>
  <c r="P8" i="2"/>
  <c r="P24" i="2"/>
  <c r="P37" i="2"/>
  <c r="P55" i="2"/>
  <c r="P9" i="2"/>
  <c r="P25" i="2"/>
  <c r="P39" i="2"/>
  <c r="P56" i="2"/>
  <c r="P10" i="2"/>
  <c r="P40" i="2"/>
  <c r="P57" i="2"/>
</calcChain>
</file>

<file path=xl/sharedStrings.xml><?xml version="1.0" encoding="utf-8"?>
<sst xmlns="http://schemas.openxmlformats.org/spreadsheetml/2006/main" count="5393" uniqueCount="1058">
  <si>
    <t>XtEHR Class</t>
  </si>
  <si>
    <t>EHDSImagingStudy</t>
  </si>
  <si>
    <t xml:space="preserve"> </t>
  </si>
  <si>
    <t xml:space="preserve"> 0..*</t>
  </si>
  <si>
    <t xml:space="preserve"> header</t>
  </si>
  <si>
    <t xml:space="preserve"> 1..1</t>
  </si>
  <si>
    <t xml:space="preserve"> header.subject</t>
  </si>
  <si>
    <t xml:space="preserve"> header.identifier</t>
  </si>
  <si>
    <t xml:space="preserve"> 1..*</t>
  </si>
  <si>
    <t xml:space="preserve"> header.author[x]</t>
  </si>
  <si>
    <t xml:space="preserve"> header.date</t>
  </si>
  <si>
    <t xml:space="preserve"> header.status</t>
  </si>
  <si>
    <t xml:space="preserve"> header.language</t>
  </si>
  <si>
    <t xml:space="preserve"> 0..1</t>
  </si>
  <si>
    <t xml:space="preserve"> modality</t>
  </si>
  <si>
    <t xml:space="preserve"> bodySite</t>
  </si>
  <si>
    <t xml:space="preserve"> encounter</t>
  </si>
  <si>
    <t xml:space="preserve"> started</t>
  </si>
  <si>
    <t xml:space="preserve"> basedOn</t>
  </si>
  <si>
    <t xml:space="preserve"> numberOfSeries</t>
  </si>
  <si>
    <t xml:space="preserve"> numberOfInstances</t>
  </si>
  <si>
    <t xml:space="preserve"> description</t>
  </si>
  <si>
    <t xml:space="preserve"> studyCustodian</t>
  </si>
  <si>
    <t xml:space="preserve"> studyEndpoint</t>
  </si>
  <si>
    <t xml:space="preserve"> series</t>
  </si>
  <si>
    <t xml:space="preserve"> series.seriesUid</t>
  </si>
  <si>
    <t xml:space="preserve"> series.number</t>
  </si>
  <si>
    <t xml:space="preserve"> series.seriesModality</t>
  </si>
  <si>
    <t xml:space="preserve"> series.description</t>
  </si>
  <si>
    <t xml:space="preserve"> series.numberOfInstances</t>
  </si>
  <si>
    <t xml:space="preserve"> series.seriesEndpoint</t>
  </si>
  <si>
    <t xml:space="preserve"> series.bodySite</t>
  </si>
  <si>
    <t xml:space="preserve"> series.specimen</t>
  </si>
  <si>
    <t xml:space="preserve"> series.started</t>
  </si>
  <si>
    <t xml:space="preserve"> series.instancesInTheSeries</t>
  </si>
  <si>
    <t xml:space="preserve"> series.instancesInTheSeries.instanceTitle</t>
  </si>
  <si>
    <t xml:space="preserve"> series.instancesInTheSeries.instanceUid</t>
  </si>
  <si>
    <t xml:space="preserve"> series.instancesInTheSeries.sopClass</t>
  </si>
  <si>
    <t xml:space="preserve"> series.instancesInTheSeries.instanceNumber</t>
  </si>
  <si>
    <t xml:space="preserve"> series.instancesInTheSeries.numberOfFrames</t>
  </si>
  <si>
    <t xml:space="preserve"> series.instancesInTheSeries.keyImage</t>
  </si>
  <si>
    <t xml:space="preserve"> series.instancesInTheSeries.keyImage.flag</t>
  </si>
  <si>
    <t xml:space="preserve"> series.instancesInTheSeries.keyImage.reason</t>
  </si>
  <si>
    <t xml:space="preserve"> series.instancesInTheSeries.keyImage.seriesUID</t>
  </si>
  <si>
    <t xml:space="preserve"> series.instancesInTheSeries.keyImage.instanceUID</t>
  </si>
  <si>
    <t>ImagingStudy</t>
  </si>
  <si>
    <t>subject</t>
  </si>
  <si>
    <t>identifier</t>
  </si>
  <si>
    <t xml:space="preserve"> Base</t>
  </si>
  <si>
    <t xml:space="preserve"> http://www.xt-ehr.eu/fhir/models/StructureDefinition/EHDSPatient</t>
  </si>
  <si>
    <t xml:space="preserve"> Identifier</t>
  </si>
  <si>
    <t xml:space="preserve"> http://www.xt-ehr.eu/fhir/models/StructureDefinition/EHDSHealthProfessional</t>
  </si>
  <si>
    <t xml:space="preserve"> http://www.xt-ehr.eu/fhir/models/StructureDefinition/EHDSOrganisation</t>
  </si>
  <si>
    <t xml:space="preserve"> http://www.xt-ehr.eu/fhir/models/StructureDefinition/EHDSDevice</t>
  </si>
  <si>
    <t xml:space="preserve"> dateTime</t>
  </si>
  <si>
    <t xml:space="preserve"> CodeableConcept</t>
  </si>
  <si>
    <t xml:space="preserve"> http://www.xt-ehr.eu/fhir/models/StructureDefinition/EHDSBodyStructure</t>
  </si>
  <si>
    <t xml:space="preserve"> http://www.xt-ehr.eu/fhir/models/StructureDefinition/EHDSEncounter</t>
  </si>
  <si>
    <t xml:space="preserve"> http://www.xt-ehr.eu/fhir/models/StructureDefinition/EHDSServiceRequest</t>
  </si>
  <si>
    <t xml:space="preserve"> integer</t>
  </si>
  <si>
    <t xml:space="preserve"> string</t>
  </si>
  <si>
    <t xml:space="preserve"> http://www.xt-ehr.eu/fhir/models/StructureDefinition/EHDSEndpoint</t>
  </si>
  <si>
    <t xml:space="preserve"> http://www.xt-ehr.eu/fhir/models/StructureDefinition/EHDSSpecimen</t>
  </si>
  <si>
    <t xml:space="preserve"> uri</t>
  </si>
  <si>
    <t>date</t>
  </si>
  <si>
    <t>status</t>
  </si>
  <si>
    <t>language</t>
  </si>
  <si>
    <t>modality</t>
  </si>
  <si>
    <t>bodySite</t>
  </si>
  <si>
    <t>encounter</t>
  </si>
  <si>
    <t>started</t>
  </si>
  <si>
    <t>basedOn</t>
  </si>
  <si>
    <t>numberOfSeries</t>
  </si>
  <si>
    <t>numberOfInstances</t>
  </si>
  <si>
    <t>description</t>
  </si>
  <si>
    <t>series</t>
  </si>
  <si>
    <t>specimen</t>
  </si>
  <si>
    <t>Patient</t>
  </si>
  <si>
    <t>Specimen</t>
  </si>
  <si>
    <t>series.number</t>
  </si>
  <si>
    <t>series.description</t>
  </si>
  <si>
    <t>series.numberOfInstances</t>
  </si>
  <si>
    <t>series.bodySite</t>
  </si>
  <si>
    <t>series.specimen</t>
  </si>
  <si>
    <t>series.started</t>
  </si>
  <si>
    <t>?</t>
  </si>
  <si>
    <t>endpoint</t>
  </si>
  <si>
    <t>series.endpoint</t>
  </si>
  <si>
    <t>series.uid</t>
  </si>
  <si>
    <t>series.modality</t>
  </si>
  <si>
    <t>code</t>
  </si>
  <si>
    <t>X</t>
  </si>
  <si>
    <t>Remove?</t>
  </si>
  <si>
    <t>EHDSPatient</t>
  </si>
  <si>
    <t xml:space="preserve"> Model for information about a patient (subject of care).</t>
  </si>
  <si>
    <t xml:space="preserve">   </t>
  </si>
  <si>
    <t xml:space="preserve"> identifier</t>
  </si>
  <si>
    <t xml:space="preserve"> An identifier of the patient that is unique within a defined scope (typically a national patient identifier, but it can also be a temporary identifier issued by the EHR).</t>
  </si>
  <si>
    <t xml:space="preserve"> name</t>
  </si>
  <si>
    <t xml:space="preserve"> Name might consist of name parts, e.g. Given name or names, family name/surname, name prefix etc.</t>
  </si>
  <si>
    <t xml:space="preserve"> http://www.xt-ehr.eu/fhir/models/StructureDefinition/EHDSHumanName</t>
  </si>
  <si>
    <t xml:space="preserve"> dateOfBirth</t>
  </si>
  <si>
    <t xml:space="preserve"> Date of birth</t>
  </si>
  <si>
    <t xml:space="preserve"> Whether the patient is deceased or date of death.</t>
  </si>
  <si>
    <t xml:space="preserve"> boolean</t>
  </si>
  <si>
    <t xml:space="preserve"> administrativeGender</t>
  </si>
  <si>
    <t xml:space="preserve"> This field must contain a recognised valid value for "administrative gender". If different, "physiological gender" should be communicated elsewhere.</t>
  </si>
  <si>
    <t xml:space="preserve"> HL7 Administrative Gender (preferred)  </t>
  </si>
  <si>
    <t xml:space="preserve"> address</t>
  </si>
  <si>
    <t xml:space="preserve"> 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</si>
  <si>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 xml:space="preserve"> http://www.xt-ehr.eu/fhir/models/StructureDefinition/EHDSAddress</t>
  </si>
  <si>
    <t xml:space="preserve"> telecom</t>
  </si>
  <si>
    <t xml:space="preserve"> Contact information.</t>
  </si>
  <si>
    <t xml:space="preserve"> http://www.xt-ehr.eu/fhir/models/StructureDefinition/EHDSTelecom</t>
  </si>
  <si>
    <t>name</t>
  </si>
  <si>
    <t>address</t>
  </si>
  <si>
    <t>telecom</t>
  </si>
  <si>
    <t>EHDSEndpoint</t>
  </si>
  <si>
    <t xml:space="preserve"> Model covers technical details of an endpoint that can be used for electronic services</t>
  </si>
  <si>
    <t xml:space="preserve"> Identifier for the endpoint</t>
  </si>
  <si>
    <t xml:space="preserve"> status</t>
  </si>
  <si>
    <t xml:space="preserve"> Status of the endpoint (e.g. active, limited).</t>
  </si>
  <si>
    <t xml:space="preserve"> HL7 Endpoint Status (preferred)  </t>
  </si>
  <si>
    <t xml:space="preserve"> connectionType</t>
  </si>
  <si>
    <t xml:space="preserve"> A coded value that represents the technical details of the usage of this endpoint, such as what WSDLs should be used in what way.</t>
  </si>
  <si>
    <t xml:space="preserve"> A friendly name that this endpoint can be referred to with.</t>
  </si>
  <si>
    <t xml:space="preserve"> managingOrganisation</t>
  </si>
  <si>
    <t xml:space="preserve"> The organisation that provides technical management services for this endpoint.</t>
  </si>
  <si>
    <t xml:space="preserve"> payload</t>
  </si>
  <si>
    <t xml:space="preserve"> The set of payloads that are provided/available at this endpoint.</t>
  </si>
  <si>
    <t xml:space="preserve"> payload.type</t>
  </si>
  <si>
    <t xml:space="preserve"> The type of content that may be used at this endpoint.</t>
  </si>
  <si>
    <t xml:space="preserve"> payload.mimeType</t>
  </si>
  <si>
    <t xml:space="preserve"> The mime type to send the payload in (e.g. application/fhir+xml, application/fhir+json).</t>
  </si>
  <si>
    <t xml:space="preserve"> BCP-13 (preferred)  </t>
  </si>
  <si>
    <t xml:space="preserve"> payload.profileCanonical</t>
  </si>
  <si>
    <t xml:space="preserve"> The FHIR profile that is expected at this endpoint. It describes the resources that are handled, or even simply which resource types.</t>
  </si>
  <si>
    <t xml:space="preserve"> payload.profileUri</t>
  </si>
  <si>
    <t xml:space="preserve"> The profile (as a URI) that is expected at this endpoint when not represented using a FHIR profile.</t>
  </si>
  <si>
    <t xml:space="preserve"> The URI that describes the actual end-point to connect to.</t>
  </si>
  <si>
    <t xml:space="preserve"> Additional headers / information to send as part of the notification. Usage depends on the channel type.</t>
  </si>
  <si>
    <t>EHDSHealthProfessional</t>
  </si>
  <si>
    <t xml:space="preserve"> Model for information about a health professional.</t>
  </si>
  <si>
    <t xml:space="preserve"> An identifier of the health professional that is unique within a defined scope. Example: National health professional ID. Multiple identifiers could be provided.</t>
  </si>
  <si>
    <t xml:space="preserve"> Name of the health professional that has been treating or taking responsibility for the patient.</t>
  </si>
  <si>
    <t xml:space="preserve"> 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</si>
  <si>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 xml:space="preserve"> Telecommunication contact information (addresses) associated with a person, such as phone number, email, or messaging service. Multiple telecommunication addresses might be provided.</t>
  </si>
  <si>
    <t xml:space="preserve"> professionalRole</t>
  </si>
  <si>
    <t xml:space="preserve"> Professional role that the health professional is practicing at a given organisation. This is a generalisation of the FHIR PractitionerRole resource, which is used to represent the role of a practitioner in a specific context, such as a specific organisation or location.</t>
  </si>
  <si>
    <t xml:space="preserve"> professionalRole.role</t>
  </si>
  <si>
    <t xml:space="preserve"> Health professional role. Multiple roles could be provided.</t>
  </si>
  <si>
    <t xml:space="preserve"> ISCO, SNOMED CT (preferred)  </t>
  </si>
  <si>
    <t xml:space="preserve"> professionalRole.organisation</t>
  </si>
  <si>
    <t xml:space="preserve"> The organisation where this role is available</t>
  </si>
  <si>
    <t xml:space="preserve"> professionalRole.specialty</t>
  </si>
  <si>
    <t xml:space="preserve"> The specialty of a practitioner that describes the functional role they are practicing at a given organisation</t>
  </si>
  <si>
    <t xml:space="preserve"> SNOMED CT (preferred)  </t>
  </si>
  <si>
    <t>EHDSOrganisation</t>
  </si>
  <si>
    <t xml:space="preserve"> Model for information about an organisation</t>
  </si>
  <si>
    <t xml:space="preserve"> Organisation identifier</t>
  </si>
  <si>
    <t xml:space="preserve"> type</t>
  </si>
  <si>
    <t xml:space="preserve"> Kind of organisation</t>
  </si>
  <si>
    <t xml:space="preserve"> HL7 organisation_type (preferred)  </t>
  </si>
  <si>
    <t xml:space="preserve"> Organisation name</t>
  </si>
  <si>
    <t xml:space="preserve"> Mailing or office addresses.</t>
  </si>
  <si>
    <t xml:space="preserve"> Telecommunication contact information (addresses) associated with an organisation, such as phone number, email, or messaging service.</t>
  </si>
  <si>
    <t xml:space="preserve"> partOf</t>
  </si>
  <si>
    <t xml:space="preserve"> The organisation of which this organisation forms a part</t>
  </si>
  <si>
    <t>EHDSServiceRequest</t>
  </si>
  <si>
    <t xml:space="preserve"> The model covers details about a requested service or services. One order may include several requests.</t>
  </si>
  <si>
    <t xml:space="preserve"> Basic metadata for this information</t>
  </si>
  <si>
    <t xml:space="preserve"> Patient/subject information</t>
  </si>
  <si>
    <t xml:space="preserve"> Business identifier for the object, unique within its system. Supporting disambiguation between different contexts (systems/countries).</t>
  </si>
  <si>
    <t xml:space="preserve"> Author(s) responsible for the provided information. The exact role of the responsible author varies across use cases and is specific to individual models.</t>
  </si>
  <si>
    <t xml:space="preserve"> Date and optionally time of authoring/issuing</t>
  </si>
  <si>
    <t xml:space="preserve"> Status of the resource or document</t>
  </si>
  <si>
    <t xml:space="preserve"> Language in which the resource is written. Language is expressed by the IETF language tag.</t>
  </si>
  <si>
    <t xml:space="preserve"> BCP 47 (preferred)  </t>
  </si>
  <si>
    <t xml:space="preserve"> Textual description of the requested service</t>
  </si>
  <si>
    <t xml:space="preserve"> code</t>
  </si>
  <si>
    <t xml:space="preserve"> A code and name that identifies a particular service (i.e., procedure, diagnostic investigation, or panel of investigations) that have been requested.</t>
  </si>
  <si>
    <t xml:space="preserve"> LOINC, NPU, SNOMED CT (preferred)  </t>
  </si>
  <si>
    <t xml:space="preserve"> quantity</t>
  </si>
  <si>
    <t xml:space="preserve"> Amount of requested services of the same type</t>
  </si>
  <si>
    <t xml:space="preserve"> Quantity</t>
  </si>
  <si>
    <t xml:space="preserve"> Anatomic location and laterality where the procedure should be performed. This is the target site.</t>
  </si>
  <si>
    <t xml:space="preserve"> reason[x]</t>
  </si>
  <si>
    <t xml:space="preserve"> Reason why this service is being requested.</t>
  </si>
  <si>
    <t xml:space="preserve"> http://www.xt-ehr.eu/fhir/models/StructureDefinition/EHDSObservation</t>
  </si>
  <si>
    <t xml:space="preserve"> ICD-10, SNOMED CT, Orphacode (preferred)  </t>
  </si>
  <si>
    <t xml:space="preserve"> http://www.xt-ehr.eu/fhir/models/StructureDefinition/EHDSCondition</t>
  </si>
  <si>
    <t xml:space="preserve"> http://www.xt-ehr.eu/fhir/models/StructureDefinition/EHDSMedication</t>
  </si>
  <si>
    <t xml:space="preserve"> priority</t>
  </si>
  <si>
    <t xml:space="preserve"> Indicates how quickly the request should be addressed with respect to other requests.</t>
  </si>
  <si>
    <t xml:space="preserve"> HL7 Request Priority (preferred)  </t>
  </si>
  <si>
    <t xml:space="preserve"> supportingInformation[x]</t>
  </si>
  <si>
    <t xml:space="preserve"> Health conditions relevant for the results interpretation, e.g. fasting status, sex for clinical use, etc.</t>
  </si>
  <si>
    <t xml:space="preserve"> http://www.xt-ehr.eu/fhir/models/StructureDefinition/EHDSProcedure</t>
  </si>
  <si>
    <t xml:space="preserve"> http://www.xt-ehr.eu/fhir/models/StructureDefinition/EHDSMedicationAdministration</t>
  </si>
  <si>
    <t xml:space="preserve"> specimen</t>
  </si>
  <si>
    <t xml:space="preserve"> Specimens to be used by the laboratory procedure</t>
  </si>
  <si>
    <t xml:space="preserve"> The encounter that provides additional information about the healthcare context in which this request is made.</t>
  </si>
  <si>
    <t xml:space="preserve"> occurrence[x]</t>
  </si>
  <si>
    <t xml:space="preserve"> Expected time of the service</t>
  </si>
  <si>
    <t xml:space="preserve"> Period</t>
  </si>
  <si>
    <t xml:space="preserve"> patientInstructions</t>
  </si>
  <si>
    <t xml:space="preserve"> Patient or consumer-oriented instructions</t>
  </si>
  <si>
    <t>EHDSSpecimen</t>
  </si>
  <si>
    <t xml:space="preserve"> Model for a specimen to be used for analysis</t>
  </si>
  <si>
    <t xml:space="preserve"> An identifier of the specimen which is unique within in a defined scope. Example: identifier assigned by ordering system, identifier assigned by laboratory etc. Multiple identifiers can be used.</t>
  </si>
  <si>
    <t xml:space="preserve"> Availability of the specimen.</t>
  </si>
  <si>
    <t xml:space="preserve"> HL7 specimen-status (preferred)  </t>
  </si>
  <si>
    <t xml:space="preserve"> The kind of material that forms the Specimen.</t>
  </si>
  <si>
    <t xml:space="preserve"> specimenSource[x]</t>
  </si>
  <si>
    <t xml:space="preserve"> Where the specimen came from. This may be from patient(s), from a location (e.g., the source of an environmental sample), or a device. Additional types of specimen may be allowed in implementations.</t>
  </si>
  <si>
    <t xml:space="preserve"> http://www.xt-ehr.eu/fhir/models/StructureDefinition/EHDSLocation</t>
  </si>
  <si>
    <t xml:space="preserve"> parentSpecimen</t>
  </si>
  <si>
    <t xml:space="preserve"> Specimen from which this specimen originated</t>
  </si>
  <si>
    <t xml:space="preserve"> request</t>
  </si>
  <si>
    <t xml:space="preserve"> Why the specimen ws collected</t>
  </si>
  <si>
    <t xml:space="preserve"> combined</t>
  </si>
  <si>
    <t xml:space="preserve"> This element signifies if the specimen is part of a group or pooled.</t>
  </si>
  <si>
    <t xml:space="preserve"> HL7 specimen-combined (preferred)  </t>
  </si>
  <si>
    <t xml:space="preserve"> collection</t>
  </si>
  <si>
    <t xml:space="preserve"> Collection details</t>
  </si>
  <si>
    <t xml:space="preserve"> collection.performer[x]</t>
  </si>
  <si>
    <t xml:space="preserve"> Person or organisation who collected the specimen</t>
  </si>
  <si>
    <t xml:space="preserve"> http://www.xt-ehr.eu/fhir/models/StructureDefinition/EHDSRelatedPerson</t>
  </si>
  <si>
    <t xml:space="preserve"> collection.collected[x]</t>
  </si>
  <si>
    <t xml:space="preserve"> The period or date and time of specimen collection.</t>
  </si>
  <si>
    <t xml:space="preserve"> collection.quantity</t>
  </si>
  <si>
    <t xml:space="preserve"> The quantity of specimen collected</t>
  </si>
  <si>
    <t xml:space="preserve"> collection.method</t>
  </si>
  <si>
    <t xml:space="preserve"> If relevant for the results, the method of obtaining the specimen.</t>
  </si>
  <si>
    <t xml:space="preserve"> collection.device</t>
  </si>
  <si>
    <t xml:space="preserve"> Device used to perform specimen collection</t>
  </si>
  <si>
    <t xml:space="preserve"> collection.bodySite</t>
  </si>
  <si>
    <t xml:space="preserve"> Anatomic location (e.g. body location, laterality and other details) where the material is collected, e.g. Elbow, left</t>
  </si>
  <si>
    <t xml:space="preserve"> receivedDate</t>
  </si>
  <si>
    <t xml:space="preserve"> Date and time when specimen is received by the testing laboratory.</t>
  </si>
  <si>
    <t xml:space="preserve"> container</t>
  </si>
  <si>
    <t xml:space="preserve"> The container holding the specimen.</t>
  </si>
  <si>
    <t xml:space="preserve"> container.specimenQuantity</t>
  </si>
  <si>
    <t xml:space="preserve"> Quantity of specimen within container</t>
  </si>
  <si>
    <t xml:space="preserve"> container.containerDevice</t>
  </si>
  <si>
    <t xml:space="preserve"> The device resource for the the container holding the specimen.</t>
  </si>
  <si>
    <t xml:space="preserve"> condition</t>
  </si>
  <si>
    <t xml:space="preserve"> State of the specimen. State of the speeimen should be alligned with dataAbsentReason element of the Observatiom model.</t>
  </si>
  <si>
    <t xml:space="preserve"> HL7 specimenCondition (preferred)  </t>
  </si>
  <si>
    <t xml:space="preserve"> note</t>
  </si>
  <si>
    <t xml:space="preserve"> To communicate any details or issues about the specimen or during the specimen collection. (for example: broken vial, sent with patient, frozen).</t>
  </si>
  <si>
    <t>Practitioner</t>
  </si>
  <si>
    <t>type</t>
  </si>
  <si>
    <t>Organization</t>
  </si>
  <si>
    <t>quantity</t>
  </si>
  <si>
    <t>priority</t>
  </si>
  <si>
    <t>supportingInformation[x]</t>
  </si>
  <si>
    <t>occurrence[x]</t>
  </si>
  <si>
    <t>patientInstructions</t>
  </si>
  <si>
    <t>specimenSource[x]</t>
  </si>
  <si>
    <t>parentSpecimen</t>
  </si>
  <si>
    <t>request</t>
  </si>
  <si>
    <t>combined</t>
  </si>
  <si>
    <t>collection</t>
  </si>
  <si>
    <t>collection.performer[x]</t>
  </si>
  <si>
    <t>collection.collected[x]</t>
  </si>
  <si>
    <t>collection.quantity</t>
  </si>
  <si>
    <t>collection.method</t>
  </si>
  <si>
    <t>collection.device</t>
  </si>
  <si>
    <t>collection.bodySite</t>
  </si>
  <si>
    <t>receivedDate</t>
  </si>
  <si>
    <t>container</t>
  </si>
  <si>
    <t>container.specimenQuantity</t>
  </si>
  <si>
    <t>container.containerDevice</t>
  </si>
  <si>
    <t>condition</t>
  </si>
  <si>
    <t>note</t>
  </si>
  <si>
    <t>requester</t>
  </si>
  <si>
    <t>authoredOn</t>
  </si>
  <si>
    <t>reasonReference</t>
  </si>
  <si>
    <t>KOS</t>
  </si>
  <si>
    <t>IE</t>
  </si>
  <si>
    <t>Module</t>
  </si>
  <si>
    <t>Reference</t>
  </si>
  <si>
    <t>DICOM</t>
  </si>
  <si>
    <t>MADO</t>
  </si>
  <si>
    <t>FHIR</t>
  </si>
  <si>
    <t>C.7.1.1</t>
  </si>
  <si>
    <t>PatientName</t>
  </si>
  <si>
    <t>R+</t>
  </si>
  <si>
    <t>Patient ID​</t>
  </si>
  <si>
    <t>value</t>
  </si>
  <si>
    <t>Issuer of Patient ID</t>
  </si>
  <si>
    <t>system</t>
  </si>
  <si>
    <t>Issuer of Patient ID Qualifiers Sequence</t>
  </si>
  <si>
    <t>Universal Entity ID</t>
  </si>
  <si>
    <t>Universal Entity ID Type</t>
  </si>
  <si>
    <t>Type of Patient ID</t>
  </si>
  <si>
    <t>Patient's Birth Date​</t>
  </si>
  <si>
    <t>Patient's Sex​</t>
  </si>
  <si>
    <t>Patient Comments</t>
  </si>
  <si>
    <t>Other Patient IDs Sequence</t>
  </si>
  <si>
    <t>Patient ID</t>
  </si>
  <si>
    <t>O+</t>
  </si>
  <si>
    <t>RC+</t>
  </si>
  <si>
    <t>PatientSpeciesDescription</t>
  </si>
  <si>
    <t>Patient Species Code Sequence</t>
  </si>
  <si>
    <t>Patient Breed description</t>
  </si>
  <si>
    <t>Patient Breed Code Sequence</t>
  </si>
  <si>
    <t>Study</t>
  </si>
  <si>
    <t>General Study</t>
  </si>
  <si>
    <t>C.7.2.1</t>
  </si>
  <si>
    <t>Series</t>
  </si>
  <si>
    <t>Key Object Document Series</t>
  </si>
  <si>
    <t>C.17.6.1</t>
  </si>
  <si>
    <t>Equipment</t>
  </si>
  <si>
    <t>General Equipment</t>
  </si>
  <si>
    <t>C.7.5.1</t>
  </si>
  <si>
    <t>SR Document</t>
  </si>
  <si>
    <t>Key Object Document</t>
  </si>
  <si>
    <t>C.17.6.2</t>
  </si>
  <si>
    <t>SR Document Content</t>
  </si>
  <si>
    <t>C.17.3</t>
  </si>
  <si>
    <t>SOP Common</t>
  </si>
  <si>
    <t>C.12.1</t>
  </si>
  <si>
    <t>gender</t>
  </si>
  <si>
    <t>When not human</t>
  </si>
  <si>
    <t>StudyInstanceUID</t>
  </si>
  <si>
    <t>StudyID</t>
  </si>
  <si>
    <t>Modality</t>
  </si>
  <si>
    <t>StudyDate</t>
  </si>
  <si>
    <t>StudyTime</t>
  </si>
  <si>
    <t>AccessionNumber</t>
  </si>
  <si>
    <t>IssuerOfAccessionNumberSequence</t>
  </si>
  <si>
    <t>UniversalEntityIdType</t>
  </si>
  <si>
    <t>UniversalEntityId</t>
  </si>
  <si>
    <t>Study Description</t>
  </si>
  <si>
    <t>RefferringPhusician's Name</t>
  </si>
  <si>
    <t>SR</t>
  </si>
  <si>
    <t>-&gt;</t>
  </si>
  <si>
    <t>ServiceRequest-RequestedProcedure</t>
  </si>
  <si>
    <t>Reason For Performed Procedure Code Sequence</t>
  </si>
  <si>
    <t>Manufacturer</t>
  </si>
  <si>
    <t>Institution Name</t>
  </si>
  <si>
    <t>Institution Code Sequence</t>
  </si>
  <si>
    <t>Configuration - KOS author</t>
  </si>
  <si>
    <t>Device-Author</t>
  </si>
  <si>
    <t>manufacturer</t>
  </si>
  <si>
    <t xml:space="preserve">-&gt; </t>
  </si>
  <si>
    <t>owner</t>
  </si>
  <si>
    <t>Referenced Request Sequence</t>
  </si>
  <si>
    <t>Current Requested Procedure Evidence Sequence</t>
  </si>
  <si>
    <t>Study Instance UID</t>
  </si>
  <si>
    <t>Placer Order Number</t>
  </si>
  <si>
    <t>Order Placer Identifier Sequence</t>
  </si>
  <si>
    <t>identifier[accession]</t>
  </si>
  <si>
    <t>identifier[order]</t>
  </si>
  <si>
    <t>Content Date</t>
  </si>
  <si>
    <t>Content Time</t>
  </si>
  <si>
    <t>Instance Number</t>
  </si>
  <si>
    <t>value (urn)</t>
  </si>
  <si>
    <t>Retrieve Location UID</t>
  </si>
  <si>
    <t>Retrieve URL</t>
  </si>
  <si>
    <t>Referenced SOP Sequence</t>
  </si>
  <si>
    <t>Referenced Series Sequence</t>
  </si>
  <si>
    <t>Retrieve AE Title</t>
  </si>
  <si>
    <t>Series Instance UID</t>
  </si>
  <si>
    <t>Endpoint issues</t>
  </si>
  <si>
    <t>WADO vs XC-WADO</t>
  </si>
  <si>
    <t>Webviewer vs IID</t>
  </si>
  <si>
    <t>name, orgnaization and header values</t>
  </si>
  <si>
    <t>Removed from spec? What does 7.2 say?</t>
  </si>
  <si>
    <t>EndpointXcWADO</t>
  </si>
  <si>
    <t>extension[locationUid}</t>
  </si>
  <si>
    <t>Referenced SOP Class UID</t>
  </si>
  <si>
    <t>Referenced SOP Instance UID</t>
  </si>
  <si>
    <t>series.instance.uid</t>
  </si>
  <si>
    <t>series.instance.sopClass</t>
  </si>
  <si>
    <t>Series Date</t>
  </si>
  <si>
    <t>Series Time</t>
  </si>
  <si>
    <t>Series Description</t>
  </si>
  <si>
    <t>Series Description Code Sequence</t>
  </si>
  <si>
    <t>Referenced Performed Procedure Step Sequence</t>
  </si>
  <si>
    <t>Protocol Name</t>
  </si>
  <si>
    <t>Series Number</t>
  </si>
  <si>
    <t>No good mapping present - extension needed?</t>
  </si>
  <si>
    <t>SOP Class UID</t>
  </si>
  <si>
    <t>SOP Instance UID</t>
  </si>
  <si>
    <t>1.2.840.10008.5.1.4.1.1.88.59</t>
  </si>
  <si>
    <t>Content Template Sequence</t>
  </si>
  <si>
    <t>1C</t>
  </si>
  <si>
    <t>Template Identifier</t>
  </si>
  <si>
    <t>DCMR</t>
  </si>
  <si>
    <t>Root node</t>
  </si>
  <si>
    <t>IMAGE</t>
  </si>
  <si>
    <t>SR document</t>
  </si>
  <si>
    <t>Root list refers to representative instance, no equivalent in FHIR</t>
  </si>
  <si>
    <t>Add extension</t>
  </si>
  <si>
    <t>TID1600</t>
  </si>
  <si>
    <t>NL</t>
  </si>
  <si>
    <t>Rel with Parent</t>
  </si>
  <si>
    <t>VT</t>
  </si>
  <si>
    <t>Concept Name</t>
  </si>
  <si>
    <t>VM</t>
  </si>
  <si>
    <t>Req Type</t>
  </si>
  <si>
    <t>Condition</t>
  </si>
  <si>
    <t>Value Set Constraint</t>
  </si>
  <si>
    <t>CONTAINER</t>
  </si>
  <si>
    <t>DCID 7010 “Key Object Selection Document Title”</t>
  </si>
  <si>
    <t>M</t>
  </si>
  <si>
    <t>&gt;</t>
  </si>
  <si>
    <t>HAS CONCEPT MOD</t>
  </si>
  <si>
    <t>CODE</t>
  </si>
  <si>
    <t>EV (113011, DCM, "Document Title Modifier")</t>
  </si>
  <si>
    <t>1-n</t>
  </si>
  <si>
    <t>U</t>
  </si>
  <si>
    <t>UC</t>
  </si>
  <si>
    <t>IF Row 1 Concept Name = (113001, DCM, "Rejected for Quality Reasons") or (113010, DCM, "Quality Issue")</t>
  </si>
  <si>
    <t>DCID 7011 “Rejected for Quality Reason”</t>
  </si>
  <si>
    <t>MC</t>
  </si>
  <si>
    <t>IF Row 1 Concept Name = (113013, DCM, "Best In Set")</t>
  </si>
  <si>
    <t>DCID 7012 “Best in Set”</t>
  </si>
  <si>
    <t>INCLUDE</t>
  </si>
  <si>
    <t>DTID 1204 “Language of Content Item and Descendants”</t>
  </si>
  <si>
    <t>HAS OBS CONTEXT</t>
  </si>
  <si>
    <t>DTID 1002 “Observer Context”</t>
  </si>
  <si>
    <t>CONTAINS</t>
  </si>
  <si>
    <t>TEXT</t>
  </si>
  <si>
    <t>EV (113012, DCM, "Key Object Description")</t>
  </si>
  <si>
    <t>At least one of Rows 8, 9 and 10 shall be present</t>
  </si>
  <si>
    <t>WAVEFORM</t>
  </si>
  <si>
    <t>COMPOSITE</t>
  </si>
  <si>
    <t>TID2010</t>
  </si>
  <si>
    <t>TID1600 (111028, DCM, "Image Library")</t>
  </si>
  <si>
    <t>EV (111028, DCM, "Image Library")</t>
  </si>
  <si>
    <t>EV (126200, DCM, "Image Library Group")</t>
  </si>
  <si>
    <t>&gt;&gt;</t>
  </si>
  <si>
    <t>HAS ACQ CONTEXT</t>
  </si>
  <si>
    <t>DTID 1602 “Image Library Entry Descriptors”</t>
  </si>
  <si>
    <t>DTID 1601 “Image Library Entry”</t>
  </si>
  <si>
    <t>only one represantative instance</t>
  </si>
  <si>
    <t>Specimen module</t>
  </si>
  <si>
    <t>Container Identifier</t>
  </si>
  <si>
    <t>Issuer of container identifier</t>
  </si>
  <si>
    <t>alternate container identifier</t>
  </si>
  <si>
    <t>Container type code sequence</t>
  </si>
  <si>
    <t>Container description</t>
  </si>
  <si>
    <t>Container component sequence</t>
  </si>
  <si>
    <t>Specimen description sequence</t>
  </si>
  <si>
    <t>Primary Anatomical structure sequence</t>
  </si>
  <si>
    <t>Specimen identifier</t>
  </si>
  <si>
    <t>Specimen UID</t>
  </si>
  <si>
    <t>Specimen Type Code Sequence</t>
  </si>
  <si>
    <t>Speciment short description</t>
  </si>
  <si>
    <t>Speciment detailed description</t>
  </si>
  <si>
    <t>Issuer of the specimen identifier sequence</t>
  </si>
  <si>
    <t>Specimen Localization Content Item Sequence</t>
  </si>
  <si>
    <t>Specimen Preparation Sequence</t>
  </si>
  <si>
    <t>/-&gt;</t>
  </si>
  <si>
    <t>Device.identifier</t>
  </si>
  <si>
    <t>Device.type</t>
  </si>
  <si>
    <t>Device.name</t>
  </si>
  <si>
    <t>Mark the fields required for processing.</t>
  </si>
  <si>
    <t>TID1601</t>
  </si>
  <si>
    <t>EV (121139, DCM, "Modality")</t>
  </si>
  <si>
    <t>UIDREF</t>
  </si>
  <si>
    <t>EV (ddd011, DCM, “Study Instance UID”)</t>
  </si>
  <si>
    <t>EV (123014, DCM, "Target Region")</t>
  </si>
  <si>
    <t>Each content item shall correspond to the TEXT content item below of the same rank.</t>
  </si>
  <si>
    <t>Code value for target region selected.  See 4.3.X.4.1 CID IHE-MADO1   High-Level Anatomic Regions and systems (See Note below).</t>
  </si>
  <si>
    <t>Each content item shall correspond to the TEXT content item above of the same rank.</t>
  </si>
  <si>
    <t>Text value for target region selected.  See 4.3.X.4.1 CID IHE-MADO1   High-Level Anatomic Regions and systems (See Note below)</t>
  </si>
  <si>
    <t>NUM or TEXT ?</t>
  </si>
  <si>
    <r>
      <t>EV (ddd010, DCM, “Number of Study Related Series”</t>
    </r>
    <r>
      <rPr>
        <sz val="8"/>
        <color theme="1"/>
        <rFont val="Times New Roman"/>
        <family val="1"/>
      </rPr>
      <t> </t>
    </r>
  </si>
  <si>
    <t>?  UNITS = EV ({instances}, UCUM, "instances")</t>
  </si>
  <si>
    <r>
      <t> </t>
    </r>
    <r>
      <rPr>
        <sz val="10"/>
        <color theme="1"/>
        <rFont val="Times New Roman"/>
        <family val="1"/>
      </rPr>
      <t>question: does this attribute reflect the number of series in the original study the manifest is based on. Or does it list the amount of series that are referenced by this manifest?</t>
    </r>
  </si>
  <si>
    <t>identifier[studyInstanceUid]</t>
  </si>
  <si>
    <t>extension[anatomical].text</t>
  </si>
  <si>
    <t>EV (121139, DCM, "Modality")</t>
  </si>
  <si>
    <t>DCID 29 “Acquisition Modality”</t>
  </si>
  <si>
    <t>EV (123014, DCM, "Target Region")</t>
  </si>
  <si>
    <t>DCID 4031 “Common Anatomic Region”</t>
  </si>
  <si>
    <t>EV (111027, DCM, "Image Laterality")</t>
  </si>
  <si>
    <t>DCID 244 “Laterality”</t>
  </si>
  <si>
    <t>DATE</t>
  </si>
  <si>
    <t>EV (111060, DCM, "Study Date")</t>
  </si>
  <si>
    <t>TIME</t>
  </si>
  <si>
    <t>EV (111061, DCM, "Study Time")</t>
  </si>
  <si>
    <t>EV (111018, DCM, "Content Date")</t>
  </si>
  <si>
    <t>EV (111019, DCM, "Content Time")</t>
  </si>
  <si>
    <t>EV (126201, DCM, "Acquisition Date")</t>
  </si>
  <si>
    <t>EV (126202, DCM, "Acquisition Time")</t>
  </si>
  <si>
    <t>EV (112227, DCM, "Frame of Reference UID")</t>
  </si>
  <si>
    <t>NUM</t>
  </si>
  <si>
    <t>EV (110910, DCM, "Pixel Data Rows")</t>
  </si>
  <si>
    <t>UNITS = EV ({pixels}, UCUM, "pixels")</t>
  </si>
  <si>
    <t>EV (110911, DCM, "Pixel Data Columns")</t>
  </si>
  <si>
    <t>DTID 1603 “Image Library Entry Descriptors for Projection Radiography”</t>
  </si>
  <si>
    <t>IFF Row 1 is present with a value of "CR", "DX", "IO", "MG, "PX", "RF", "RG" or "XA"</t>
  </si>
  <si>
    <t>DTID 1604 “Image Library Entry Descriptors for Cross-Sectional Modalities”</t>
  </si>
  <si>
    <t>IFF Row 1 is present with a value of "CT", "MR" or "PT"</t>
  </si>
  <si>
    <t>DTID 1605 “Image Library Entry Descriptors for CT”</t>
  </si>
  <si>
    <t>IFF Row 1 is present with a value of "CT"</t>
  </si>
  <si>
    <t>DTID 1606 “Image Library Entry Descriptors for MR”</t>
  </si>
  <si>
    <t>IFF Row 1 is present with a value of "MR"</t>
  </si>
  <si>
    <t>DTID 1607 “Image Library Entry Descriptors for PET”</t>
  </si>
  <si>
    <t>IFF Row 1 is present with a value of "PT"</t>
  </si>
  <si>
    <t>TID1602</t>
  </si>
  <si>
    <t>series.laterality</t>
  </si>
  <si>
    <t>EV (ddd003, DCM, "Series Date")</t>
  </si>
  <si>
    <t>Shall be populated if the corresponding attribute is populated in the relevant instance(s).</t>
  </si>
  <si>
    <t>EV (ddd004, DCM, "Series Time")</t>
  </si>
  <si>
    <t>EV (ddd002, DCM, “Series Description”)</t>
  </si>
  <si>
    <t>EV (ddd005, DCM, “Series Number”)</t>
  </si>
  <si>
    <t>The text string shall  be consistent with the value of Series Number  (0020,0011) of the referenced series.</t>
  </si>
  <si>
    <t>EV (ddd006, DCM, “Series Instance UID”)</t>
  </si>
  <si>
    <t>If present, each content item shall correspond to the TEXT content item below of the same rank.</t>
  </si>
  <si>
    <t>This is a fine-grained series level anatomical region recommended to use DCID 4031 or CID4</t>
  </si>
  <si>
    <t>If present, each content item shall correspond to the CODE content item above of the same rank.</t>
  </si>
  <si>
    <r>
      <t>EV (ddd007, DCM, “Number of Series Related Instances”)</t>
    </r>
    <r>
      <rPr>
        <sz val="8"/>
        <color theme="1"/>
        <rFont val="Times New Roman"/>
        <family val="1"/>
      </rPr>
      <t> </t>
    </r>
  </si>
  <si>
    <r>
      <t> </t>
    </r>
    <r>
      <rPr>
        <sz val="10"/>
        <color theme="1"/>
        <rFont val="Times New Roman"/>
        <family val="1"/>
      </rPr>
      <t xml:space="preserve">question: does this attribute reflect the number of images in the original series the manifest is based on. Or does it list the amount of images that are referenced a Key images from a series. The scenario is where the MADO manifest references less images from a series than exist in that series. </t>
    </r>
  </si>
  <si>
    <t>series.bodySite.text</t>
  </si>
  <si>
    <t>EV (121140, DCM, “Number of Frames”)</t>
  </si>
  <si>
    <r>
      <t xml:space="preserve">Required </t>
    </r>
    <r>
      <rPr>
        <sz val="9"/>
        <color rgb="FF000000"/>
        <rFont val="Times New Roman"/>
        <family val="1"/>
      </rPr>
      <t>when the SOP Class is multiframe</t>
    </r>
  </si>
  <si>
    <r>
      <t>EV (ddd00</t>
    </r>
    <r>
      <rPr>
        <sz val="9"/>
        <color theme="1"/>
        <rFont val="Times New Roman"/>
        <family val="1"/>
      </rPr>
      <t>8</t>
    </r>
    <r>
      <rPr>
        <sz val="9"/>
        <color rgb="FF000000"/>
        <rFont val="Times New Roman"/>
        <family val="1"/>
      </rPr>
      <t>, DCM, “Instance Number”)</t>
    </r>
  </si>
  <si>
    <r>
      <t xml:space="preserve">Required </t>
    </r>
    <r>
      <rPr>
        <sz val="9"/>
        <color rgb="FF000000"/>
        <rFont val="Times New Roman"/>
        <family val="1"/>
      </rPr>
      <t>when present in the referenced SOP Instance</t>
    </r>
  </si>
  <si>
    <r>
      <t>The text string shall  be consistent with the value of Instance Number  (0020,0013) of the referenced instance</t>
    </r>
    <r>
      <rPr>
        <sz val="9"/>
        <color theme="1"/>
        <rFont val="Times New Roman"/>
        <family val="1"/>
      </rPr>
      <t xml:space="preserve"> (See Note)</t>
    </r>
    <r>
      <rPr>
        <sz val="9"/>
        <color rgb="FF000000"/>
        <rFont val="Times New Roman"/>
        <family val="1"/>
      </rPr>
      <t>.</t>
    </r>
  </si>
  <si>
    <t>DTID 16XX Image Library Entry Descriptors for Key Object Selection</t>
  </si>
  <si>
    <t>Present if this instance is a KOS Object</t>
  </si>
  <si>
    <t>FHIR R4</t>
  </si>
  <si>
    <t>PatientID</t>
  </si>
  <si>
    <t>IssuerOfPatientID</t>
  </si>
  <si>
    <t>IssuerOfPatientIdSequence</t>
  </si>
  <si>
    <t>OtherPatientIDsSequence</t>
  </si>
  <si>
    <t>EHDSImagingStudy1</t>
  </si>
  <si>
    <t>EHDSImagingStudy2</t>
  </si>
  <si>
    <t>EHDSImagingStudy3</t>
  </si>
  <si>
    <t>EHDSImagingStudy4</t>
  </si>
  <si>
    <t>EHDSImagingStudy5</t>
  </si>
  <si>
    <t>EHDSImagingStudy6</t>
  </si>
  <si>
    <t>EHDSImagingStudy7</t>
  </si>
  <si>
    <t>EHDSImagingStudy8</t>
  </si>
  <si>
    <t>EHDSImagingStudy9</t>
  </si>
  <si>
    <t>EHDSImagingStudy10</t>
  </si>
  <si>
    <t>EHDSImagingStudy11</t>
  </si>
  <si>
    <t>EHDSImagingStudy12</t>
  </si>
  <si>
    <t>EHDSImagingStudy13</t>
  </si>
  <si>
    <t>EHDSImagingStudy14</t>
  </si>
  <si>
    <t>EHDSImagingStudy15</t>
  </si>
  <si>
    <t>EHDSImagingStudy16</t>
  </si>
  <si>
    <t>EHDSImagingStudy17</t>
  </si>
  <si>
    <t>EHDSImagingStudy18</t>
  </si>
  <si>
    <t>EHDSImagingStudy19</t>
  </si>
  <si>
    <t>EHDSImagingStudy20</t>
  </si>
  <si>
    <t>EHDSImagingStudy21</t>
  </si>
  <si>
    <t>EHDSImagingStudy22</t>
  </si>
  <si>
    <t>EHDSImagingStudy23</t>
  </si>
  <si>
    <t>EHDSImagingStudy24</t>
  </si>
  <si>
    <t>EHDSImagingStudy25</t>
  </si>
  <si>
    <t>EHDSImagingStudy26</t>
  </si>
  <si>
    <t>EHDSImagingStudy27</t>
  </si>
  <si>
    <t>EHDSImagingStudy28</t>
  </si>
  <si>
    <t>EHDSImagingStudy29</t>
  </si>
  <si>
    <t>EHDSImagingStudy30</t>
  </si>
  <si>
    <t>EHDSImagingStudy31</t>
  </si>
  <si>
    <t>EHDSImagingStudy32</t>
  </si>
  <si>
    <t>EHDSImagingStudy33</t>
  </si>
  <si>
    <t>EHDSImagingStudy34</t>
  </si>
  <si>
    <t>EHDSImagingStudy35</t>
  </si>
  <si>
    <t>EHDSImagingStudy36</t>
  </si>
  <si>
    <t>EHDSImagingStudy37</t>
  </si>
  <si>
    <t>EHDSImagingStudy38</t>
  </si>
  <si>
    <t>EHDSImagingStudy39</t>
  </si>
  <si>
    <t>EHDSImagingStudy40</t>
  </si>
  <si>
    <t>EHDSImagingStudy41</t>
  </si>
  <si>
    <t>ImagingStudy1</t>
  </si>
  <si>
    <t>ImagingStudy2</t>
  </si>
  <si>
    <t>ID</t>
  </si>
  <si>
    <t>Resource</t>
  </si>
  <si>
    <t>XtEHR</t>
  </si>
  <si>
    <t>extension[anatomical]</t>
  </si>
  <si>
    <t>referrer</t>
  </si>
  <si>
    <t>interpreter</t>
  </si>
  <si>
    <t>procedureReference</t>
  </si>
  <si>
    <t>procedureCode</t>
  </si>
  <si>
    <t>location</t>
  </si>
  <si>
    <t>reasonCode</t>
  </si>
  <si>
    <t>series.performer</t>
  </si>
  <si>
    <t>series.instance.number</t>
  </si>
  <si>
    <t>series.instance.title</t>
  </si>
  <si>
    <t>header</t>
  </si>
  <si>
    <t>header.subject</t>
  </si>
  <si>
    <t>series.instance</t>
  </si>
  <si>
    <t>series.instance.extension[numberOfFrames]</t>
  </si>
  <si>
    <t>MhDDocumentReference</t>
  </si>
  <si>
    <t>docStatus</t>
  </si>
  <si>
    <t>category</t>
  </si>
  <si>
    <t>authenticator</t>
  </si>
  <si>
    <t>custodian</t>
  </si>
  <si>
    <t>relatesTo</t>
  </si>
  <si>
    <t>secutityLabel</t>
  </si>
  <si>
    <t>content</t>
  </si>
  <si>
    <t>context</t>
  </si>
  <si>
    <t>extension[modality]</t>
  </si>
  <si>
    <t>author[madoDevice]</t>
  </si>
  <si>
    <t>author[organization]</t>
  </si>
  <si>
    <t xml:space="preserve"> header.author[EHDSOrganization]</t>
  </si>
  <si>
    <t xml:space="preserve"> header.author[EHDSDevice]</t>
  </si>
  <si>
    <t>birthDate</t>
  </si>
  <si>
    <t>deceased[boolean]</t>
  </si>
  <si>
    <t>deceased[DateTime]</t>
  </si>
  <si>
    <t>EHDSPatient1</t>
  </si>
  <si>
    <t>EHDSPatient2</t>
  </si>
  <si>
    <t>EHDSPatient3</t>
  </si>
  <si>
    <t>EHDSPatient4</t>
  </si>
  <si>
    <t>EHDSPatient5</t>
  </si>
  <si>
    <t>EHDSPatient6</t>
  </si>
  <si>
    <t>EHDSPatient7</t>
  </si>
  <si>
    <t>EHDSPatient8</t>
  </si>
  <si>
    <t>EHDSPatient9</t>
  </si>
  <si>
    <t xml:space="preserve"> deceased[boolean]</t>
  </si>
  <si>
    <t xml:space="preserve"> deceased[DateTime]</t>
  </si>
  <si>
    <t>EHDSSpecimen1</t>
  </si>
  <si>
    <t>EHDSSpecimen2</t>
  </si>
  <si>
    <t>EHDSSpecimen3</t>
  </si>
  <si>
    <t>EHDSSpecimen4</t>
  </si>
  <si>
    <t>EHDSSpecimen5</t>
  </si>
  <si>
    <t>EHDSSpecimen6</t>
  </si>
  <si>
    <t>EHDSSpecimen7</t>
  </si>
  <si>
    <t>EHDSSpecimen8</t>
  </si>
  <si>
    <t>EHDSSpecimen9</t>
  </si>
  <si>
    <t>EHDSSpecimen10</t>
  </si>
  <si>
    <t>EHDSSpecimen11</t>
  </si>
  <si>
    <t>EHDSSpecimen12</t>
  </si>
  <si>
    <t>EHDSSpecimen13</t>
  </si>
  <si>
    <t>EHDSSpecimen14</t>
  </si>
  <si>
    <t>EHDSSpecimen15</t>
  </si>
  <si>
    <t>EHDSSpecimen16</t>
  </si>
  <si>
    <t>EHDSSpecimen17</t>
  </si>
  <si>
    <t>EHDSSpecimen18</t>
  </si>
  <si>
    <t>EHDSSpecimen19</t>
  </si>
  <si>
    <t>EHDSSpecimen20</t>
  </si>
  <si>
    <t>EHDSSpecimen21</t>
  </si>
  <si>
    <t>EHDSSpecimen22</t>
  </si>
  <si>
    <t>EHDSSpecimen23</t>
  </si>
  <si>
    <t>EHDSSpecimen24</t>
  </si>
  <si>
    <t>EHDSSpecimen25</t>
  </si>
  <si>
    <t>EHDSSpecimen26</t>
  </si>
  <si>
    <t>EHDSSpecimen27</t>
  </si>
  <si>
    <t>ServiceRequest-Order</t>
  </si>
  <si>
    <t>EHDSServiceRequest1</t>
  </si>
  <si>
    <t>EHDSServiceRequest2</t>
  </si>
  <si>
    <t>EHDSServiceRequest3</t>
  </si>
  <si>
    <t>EHDSServiceRequest4</t>
  </si>
  <si>
    <t>EHDSServiceRequest5</t>
  </si>
  <si>
    <t>EHDSServiceRequest6</t>
  </si>
  <si>
    <t>EHDSServiceRequest7</t>
  </si>
  <si>
    <t>EHDSServiceRequest8</t>
  </si>
  <si>
    <t>EHDSServiceRequest9</t>
  </si>
  <si>
    <t>EHDSServiceRequest10</t>
  </si>
  <si>
    <t>EHDSServiceRequest11</t>
  </si>
  <si>
    <t>EHDSServiceRequest12</t>
  </si>
  <si>
    <t>EHDSServiceRequest13</t>
  </si>
  <si>
    <t>EHDSServiceRequest14</t>
  </si>
  <si>
    <t>EHDSServiceRequest15</t>
  </si>
  <si>
    <t>EHDSServiceRequest16</t>
  </si>
  <si>
    <t>EHDSServiceRequest17</t>
  </si>
  <si>
    <t>EHDSServiceRequest18</t>
  </si>
  <si>
    <t>EHDSServiceRequest19</t>
  </si>
  <si>
    <t>EHDSServiceRequest20</t>
  </si>
  <si>
    <t>EHDSServiceRequest21</t>
  </si>
  <si>
    <t>EHDSServiceRequest22</t>
  </si>
  <si>
    <t>EHDSServiceRequest23</t>
  </si>
  <si>
    <t>EHDSServiceRequest24</t>
  </si>
  <si>
    <t>EHDSServiceRequest25</t>
  </si>
  <si>
    <t>EHDSServiceRequest26</t>
  </si>
  <si>
    <t>EHDSServiceRequest27</t>
  </si>
  <si>
    <t>EHDSServiceRequest28</t>
  </si>
  <si>
    <t xml:space="preserve"> header.author[EHDSHealthProcessional]</t>
  </si>
  <si>
    <t>Endpoint-XcWADO</t>
  </si>
  <si>
    <t>EHDSEndpoint1</t>
  </si>
  <si>
    <t>EHDSEndpoint2</t>
  </si>
  <si>
    <t>EHDSEndpoint3</t>
  </si>
  <si>
    <t>EHDSEndpoint4</t>
  </si>
  <si>
    <t>EHDSEndpoint5</t>
  </si>
  <si>
    <t>EHDSEndpoint6</t>
  </si>
  <si>
    <t>EHDSEndpoint7</t>
  </si>
  <si>
    <t>EHDSEndpoint8</t>
  </si>
  <si>
    <t>EHDSEndpoint9</t>
  </si>
  <si>
    <t>EHDSEndpoint11</t>
  </si>
  <si>
    <t>EHDSEndpoint12</t>
  </si>
  <si>
    <t>EHDSEndpoint13</t>
  </si>
  <si>
    <t>connectionType</t>
  </si>
  <si>
    <t>managingOrganisation</t>
  </si>
  <si>
    <t>payload</t>
  </si>
  <si>
    <t>payload.type</t>
  </si>
  <si>
    <t>payload.mimeType</t>
  </si>
  <si>
    <t>payload.profileCanonical</t>
  </si>
  <si>
    <t>payload.profileUri</t>
  </si>
  <si>
    <t>EHDSEndpoint9.5</t>
  </si>
  <si>
    <t>MhdDocRef1</t>
  </si>
  <si>
    <t>MhdDocRef2</t>
  </si>
  <si>
    <t>MhdDocRef3</t>
  </si>
  <si>
    <t>MhdDocRef4</t>
  </si>
  <si>
    <t>MhdDocRef5</t>
  </si>
  <si>
    <t>MhdDocRef6</t>
  </si>
  <si>
    <t>MhdDocRef7</t>
  </si>
  <si>
    <t>MhdDocRef8</t>
  </si>
  <si>
    <t>MhdDocRef9</t>
  </si>
  <si>
    <t>MhdDocRef10</t>
  </si>
  <si>
    <t>MhdDocRef11</t>
  </si>
  <si>
    <t>MhdDocRef12</t>
  </si>
  <si>
    <t>MhdDocRef13</t>
  </si>
  <si>
    <t>MhdDocRef14</t>
  </si>
  <si>
    <t>MhdDocRef15</t>
  </si>
  <si>
    <t>MhdDocRef16</t>
  </si>
  <si>
    <t>MhdDocRef17</t>
  </si>
  <si>
    <t>MhdDocRef18</t>
  </si>
  <si>
    <t>MhdDocRef19</t>
  </si>
  <si>
    <t>Patient1</t>
  </si>
  <si>
    <t>Patient2</t>
  </si>
  <si>
    <t>Patient3</t>
  </si>
  <si>
    <t>Patient4</t>
  </si>
  <si>
    <t>Patient5</t>
  </si>
  <si>
    <t>Patient6</t>
  </si>
  <si>
    <t>Patient7</t>
  </si>
  <si>
    <t>Patient8</t>
  </si>
  <si>
    <t>Specimen1</t>
  </si>
  <si>
    <t>Specimen2</t>
  </si>
  <si>
    <t>Specimen3</t>
  </si>
  <si>
    <t>Specimen4</t>
  </si>
  <si>
    <t>Specimen5</t>
  </si>
  <si>
    <t>Specimen6</t>
  </si>
  <si>
    <t>Specimen7</t>
  </si>
  <si>
    <t>Specimen8</t>
  </si>
  <si>
    <t>Specimen9</t>
  </si>
  <si>
    <t>Specimen10</t>
  </si>
  <si>
    <t>Specimen11</t>
  </si>
  <si>
    <t>Specimen12</t>
  </si>
  <si>
    <t>Specimen13</t>
  </si>
  <si>
    <t>Specimen14</t>
  </si>
  <si>
    <t>Specimen15</t>
  </si>
  <si>
    <t>Specimen16</t>
  </si>
  <si>
    <t>Specimen17</t>
  </si>
  <si>
    <t>Specimen18</t>
  </si>
  <si>
    <t>Specimen19</t>
  </si>
  <si>
    <t>Specimen20</t>
  </si>
  <si>
    <t>Specimen21</t>
  </si>
  <si>
    <t>Specimen22</t>
  </si>
  <si>
    <t>Specimen23</t>
  </si>
  <si>
    <t>Specimen24</t>
  </si>
  <si>
    <t>Specimen25</t>
  </si>
  <si>
    <t>Specimen26</t>
  </si>
  <si>
    <t>Order1</t>
  </si>
  <si>
    <t>Order2</t>
  </si>
  <si>
    <t>Order3</t>
  </si>
  <si>
    <t>Order4</t>
  </si>
  <si>
    <t>Order5</t>
  </si>
  <si>
    <t>Order6</t>
  </si>
  <si>
    <t>Order7</t>
  </si>
  <si>
    <t>Order8</t>
  </si>
  <si>
    <t>Order9</t>
  </si>
  <si>
    <t>Order10</t>
  </si>
  <si>
    <t>Order11</t>
  </si>
  <si>
    <t>Order12</t>
  </si>
  <si>
    <t>Order13</t>
  </si>
  <si>
    <t>Order14</t>
  </si>
  <si>
    <t>Order15</t>
  </si>
  <si>
    <t>Order16</t>
  </si>
  <si>
    <t>Order17</t>
  </si>
  <si>
    <t>Order18</t>
  </si>
  <si>
    <t>Order19</t>
  </si>
  <si>
    <t>Order20</t>
  </si>
  <si>
    <t>Order21</t>
  </si>
  <si>
    <t>Order22</t>
  </si>
  <si>
    <t>Order23</t>
  </si>
  <si>
    <t>Order24</t>
  </si>
  <si>
    <t>Order25</t>
  </si>
  <si>
    <t>Order26</t>
  </si>
  <si>
    <t>XcWado1</t>
  </si>
  <si>
    <t>XcWado2</t>
  </si>
  <si>
    <t>XcWado3</t>
  </si>
  <si>
    <t>XcWado4</t>
  </si>
  <si>
    <t>XcWado5</t>
  </si>
  <si>
    <t>XcWado6</t>
  </si>
  <si>
    <t>XcWado7</t>
  </si>
  <si>
    <t>XcWado8</t>
  </si>
  <si>
    <t>XcWado9</t>
  </si>
  <si>
    <t>XcWado10</t>
  </si>
  <si>
    <t>XcWado11</t>
  </si>
  <si>
    <t>XcWado12</t>
  </si>
  <si>
    <t>ImagingStudy3</t>
  </si>
  <si>
    <t>ImagingStudy4</t>
  </si>
  <si>
    <t>ImagingStudy5</t>
  </si>
  <si>
    <t>ImagingStudy6</t>
  </si>
  <si>
    <t>ImagingStudy7</t>
  </si>
  <si>
    <t>ImagingStudy8</t>
  </si>
  <si>
    <t>ImagingStudy9</t>
  </si>
  <si>
    <t>ImagingStudy10</t>
  </si>
  <si>
    <t>ImagingStudy11</t>
  </si>
  <si>
    <t>ImagingStudy12</t>
  </si>
  <si>
    <t>ImagingStudy13</t>
  </si>
  <si>
    <t>ImagingStudy14</t>
  </si>
  <si>
    <t>ImagingStudy15</t>
  </si>
  <si>
    <t>ImagingStudy16</t>
  </si>
  <si>
    <t>ImagingStudy17</t>
  </si>
  <si>
    <t>ImagingStudy18</t>
  </si>
  <si>
    <t>ImagingStudy19</t>
  </si>
  <si>
    <t>ImagingStudy20</t>
  </si>
  <si>
    <t>ImagingStudy21</t>
  </si>
  <si>
    <t>ImagingStudy22</t>
  </si>
  <si>
    <t>ImagingStudy23</t>
  </si>
  <si>
    <t>ImagingStudy24</t>
  </si>
  <si>
    <t>ImagingStudy25</t>
  </si>
  <si>
    <t>ImagingStudy26</t>
  </si>
  <si>
    <t>ImagingStudy27</t>
  </si>
  <si>
    <t>ImagingStudy28</t>
  </si>
  <si>
    <t>ImagingStudy29</t>
  </si>
  <si>
    <t>ImagingStudy30</t>
  </si>
  <si>
    <t>ImagingStudy31</t>
  </si>
  <si>
    <t>ImagingStudy32</t>
  </si>
  <si>
    <t>ImagingStudy33</t>
  </si>
  <si>
    <t>ImagingStudy34</t>
  </si>
  <si>
    <t>ImagingStudy35</t>
  </si>
  <si>
    <t>ImagingStudy36</t>
  </si>
  <si>
    <t>ImagingStudy37</t>
  </si>
  <si>
    <t>ImagingStudy38</t>
  </si>
  <si>
    <t>ImagingStudy39</t>
  </si>
  <si>
    <t>ImagingStudy40</t>
  </si>
  <si>
    <t>ImagingStudy41</t>
  </si>
  <si>
    <t>PatientModule</t>
  </si>
  <si>
    <t>EHDSHealthProfessional1</t>
  </si>
  <si>
    <t>EHDSHealthProfessional2</t>
  </si>
  <si>
    <t>EHDSHealthProfessional3</t>
  </si>
  <si>
    <t>EHDSHealthProfessional4</t>
  </si>
  <si>
    <t>EHDSHealthProfessional5</t>
  </si>
  <si>
    <t>EHDSHealthProfessional6</t>
  </si>
  <si>
    <t>EHDSHealthProfessional7</t>
  </si>
  <si>
    <t>EHDSHealthProfessional8</t>
  </si>
  <si>
    <t>EHDSHealthProfessional9</t>
  </si>
  <si>
    <t>EHDSHealthProfessional10</t>
  </si>
  <si>
    <t>EHDSHealthProfessional11</t>
  </si>
  <si>
    <t>EHDSHealthProfessional12</t>
  </si>
  <si>
    <t>EHDSHealthProfessional13</t>
  </si>
  <si>
    <t>EHDSHealthProfessional14</t>
  </si>
  <si>
    <t>EHDSHealthProfessional15</t>
  </si>
  <si>
    <t>EHDSHealthProfessional16</t>
  </si>
  <si>
    <t>Code</t>
  </si>
  <si>
    <t>EHDSDevice-Container</t>
  </si>
  <si>
    <t>instanceIdentifier</t>
  </si>
  <si>
    <t>uidCarrier</t>
  </si>
  <si>
    <t>manufactureDate</t>
  </si>
  <si>
    <t>expiryDate</t>
  </si>
  <si>
    <t>lotNumber</t>
  </si>
  <si>
    <t>serialNumber</t>
  </si>
  <si>
    <t>name.value</t>
  </si>
  <si>
    <t>name.type</t>
  </si>
  <si>
    <t>modelNumber</t>
  </si>
  <si>
    <t>version</t>
  </si>
  <si>
    <t>0..*</t>
  </si>
  <si>
    <t>0..1</t>
  </si>
  <si>
    <t>1..1</t>
  </si>
  <si>
    <t>EHDSDeviceCont1</t>
  </si>
  <si>
    <t>EHDSDeviceCont2</t>
  </si>
  <si>
    <t>EHDSDeviceCont3</t>
  </si>
  <si>
    <t>EHDSDeviceCont4</t>
  </si>
  <si>
    <t>EHDSDeviceCont5</t>
  </si>
  <si>
    <t>EHDSDeviceCont6</t>
  </si>
  <si>
    <t>EHDSDeviceCont7</t>
  </si>
  <si>
    <t>EHDSDeviceCont8</t>
  </si>
  <si>
    <t>EHDSDeviceCont9</t>
  </si>
  <si>
    <t>EHDSDeviceCont10</t>
  </si>
  <si>
    <t>EHDSDeviceCont11</t>
  </si>
  <si>
    <t>EHDSDeviceCont12</t>
  </si>
  <si>
    <t>EHDSDeviceCont13</t>
  </si>
  <si>
    <t>ImagingSelection-KeyObj1</t>
  </si>
  <si>
    <t>ImagingSelection-KeyObj2</t>
  </si>
  <si>
    <t>ImagingSelection-KeyObj3</t>
  </si>
  <si>
    <t>ImagingSelection-KeyObj4</t>
  </si>
  <si>
    <t>ImagingSelection-KeyObj5</t>
  </si>
  <si>
    <t>ImagingSelection-KeyObj6</t>
  </si>
  <si>
    <t>ImagingSelection-KeyObj7</t>
  </si>
  <si>
    <t>ImagingSelection-KeyObj8</t>
  </si>
  <si>
    <t>ImagingSelection-KeyObj9</t>
  </si>
  <si>
    <t>ImagingSelection-KeyObj10</t>
  </si>
  <si>
    <t>ImagingSelection-KeyObj11</t>
  </si>
  <si>
    <t>ImagingSelection-KeyObj12</t>
  </si>
  <si>
    <t>ImagingSelection-KeyObj13</t>
  </si>
  <si>
    <t>ImagingSelection-KeyObj14</t>
  </si>
  <si>
    <t>ImagingSelection-KeyObj15</t>
  </si>
  <si>
    <t>ImagingSelection-KeyObj16</t>
  </si>
  <si>
    <t>ImagingSelection-KeyObj17</t>
  </si>
  <si>
    <t>ImagingSelection-KeyObj18</t>
  </si>
  <si>
    <t>ImagingSelection-KeyObj19</t>
  </si>
  <si>
    <t>ImagingSelection-KeyObj20</t>
  </si>
  <si>
    <t>ImagingSelection-KeyObj21</t>
  </si>
  <si>
    <t>ImagingSelection-KeyObj22</t>
  </si>
  <si>
    <t>extension[instance]</t>
  </si>
  <si>
    <t>extension[issued]</t>
  </si>
  <si>
    <t>extension[performer]</t>
  </si>
  <si>
    <t>extension[basedOn]</t>
  </si>
  <si>
    <t>extension[category]</t>
  </si>
  <si>
    <t>extension[studyUid]</t>
  </si>
  <si>
    <t>extension[derivedFrom]</t>
  </si>
  <si>
    <t>extension[endpoint]</t>
  </si>
  <si>
    <t>extension[seriesUid]</t>
  </si>
  <si>
    <t>extension[seriesNumber]</t>
  </si>
  <si>
    <t>extension[frameOfReferenceUid]</t>
  </si>
  <si>
    <t>extension[bodySite]</t>
  </si>
  <si>
    <t>extension[focus]</t>
  </si>
  <si>
    <t>extension[instance].extension[instance.uid]</t>
  </si>
  <si>
    <t>extension[instance].extension[instance.uid].extension[instance.number]</t>
  </si>
  <si>
    <t>extension[instance].extension[instance.uid].extension[instance.number].extension[instance.sopClass]</t>
  </si>
  <si>
    <t>extension[instance].extension[instance.uid].extension[instance.number].extension[instance.sopClass].extension[instance.subset]</t>
  </si>
  <si>
    <t>Basic-KeyObj</t>
  </si>
  <si>
    <t>extensio[status]</t>
  </si>
  <si>
    <t>extension[code].text</t>
  </si>
  <si>
    <t>extension[code].coding</t>
  </si>
  <si>
    <t>ImagingStudy42</t>
  </si>
  <si>
    <t>series.instance.extension[representative]</t>
  </si>
  <si>
    <t>extension[patient-animal]</t>
  </si>
  <si>
    <t>extension[patient-animal]extension[species]</t>
  </si>
  <si>
    <t>extension[patient-animal].extension[breed]</t>
  </si>
  <si>
    <t>Patient9</t>
  </si>
  <si>
    <t>Patient10</t>
  </si>
  <si>
    <t>Patient11</t>
  </si>
  <si>
    <t>identifier[studyUid]</t>
  </si>
  <si>
    <t>ImagingStudy3.1</t>
  </si>
  <si>
    <t>XcWado10.1</t>
  </si>
  <si>
    <t>extension[locationUid]</t>
  </si>
  <si>
    <t>Device-Imaging</t>
  </si>
  <si>
    <t>statusReason</t>
  </si>
  <si>
    <t>expirationDate</t>
  </si>
  <si>
    <t>deviceName</t>
  </si>
  <si>
    <t>partNumber</t>
  </si>
  <si>
    <t>specialization</t>
  </si>
  <si>
    <t>property</t>
  </si>
  <si>
    <t>patient</t>
  </si>
  <si>
    <t>contact</t>
  </si>
  <si>
    <t>url</t>
  </si>
  <si>
    <t>saftey</t>
  </si>
  <si>
    <t>parent</t>
  </si>
  <si>
    <t>Device-Imaging1</t>
  </si>
  <si>
    <t>Device-Imaging2</t>
  </si>
  <si>
    <t>Device-Imaging3</t>
  </si>
  <si>
    <t>Device-Imaging4</t>
  </si>
  <si>
    <t>Device-Imaging5</t>
  </si>
  <si>
    <t>Device-Imaging6</t>
  </si>
  <si>
    <t>Device-Imaging7</t>
  </si>
  <si>
    <t>Device-Imaging8</t>
  </si>
  <si>
    <t>Device-Imaging9</t>
  </si>
  <si>
    <t>Device-Imaging10</t>
  </si>
  <si>
    <t>Device-Imaging11</t>
  </si>
  <si>
    <t>Device-Imaging12</t>
  </si>
  <si>
    <t>Device-Imaging13</t>
  </si>
  <si>
    <t>Device-Imaging14</t>
  </si>
  <si>
    <t>Device-Imaging15</t>
  </si>
  <si>
    <t>Device-Imaging16</t>
  </si>
  <si>
    <t>Device-Imaging17</t>
  </si>
  <si>
    <t>Device-Imaging18</t>
  </si>
  <si>
    <t>Device-Imaging19</t>
  </si>
  <si>
    <t>Device-Imaging20</t>
  </si>
  <si>
    <t>Device-Imaging21</t>
  </si>
  <si>
    <t>Device-Imaging22</t>
  </si>
  <si>
    <t>Device-SpecimenContainer</t>
  </si>
  <si>
    <t>Device-SpecCont1</t>
  </si>
  <si>
    <t>Device-SpecCont2</t>
  </si>
  <si>
    <t>Device-SpecCont3</t>
  </si>
  <si>
    <t>Device-SpecCont4</t>
  </si>
  <si>
    <t>Device-SpecCont5</t>
  </si>
  <si>
    <t>Device-SpecCont6</t>
  </si>
  <si>
    <t>Device-SpecCont7</t>
  </si>
  <si>
    <t>Device-SpecCont8</t>
  </si>
  <si>
    <t>Device-SpecCont9</t>
  </si>
  <si>
    <t>Device-SpecCont10</t>
  </si>
  <si>
    <t>Device-SpecCont11</t>
  </si>
  <si>
    <t>Device-SpecCont12</t>
  </si>
  <si>
    <t>Device-SpecCont13</t>
  </si>
  <si>
    <t>Device-SpecCont14</t>
  </si>
  <si>
    <t>Device-SpecCont15</t>
  </si>
  <si>
    <t>Device-SpecCont16</t>
  </si>
  <si>
    <t>Device-SpecCont17</t>
  </si>
  <si>
    <t>Device-SpecCont18</t>
  </si>
  <si>
    <t>Device-SpecCont19</t>
  </si>
  <si>
    <t>Device-SpecCont20</t>
  </si>
  <si>
    <t>Device-SpecCont21</t>
  </si>
  <si>
    <t>Device-SpecCont22</t>
  </si>
  <si>
    <t>Device-SpecCont23</t>
  </si>
  <si>
    <t>ImagingStudy7a</t>
  </si>
  <si>
    <t>ImagingStudy31a</t>
  </si>
  <si>
    <t>DICOM SR</t>
  </si>
  <si>
    <t>-</t>
  </si>
  <si>
    <t>v</t>
  </si>
  <si>
    <t>|</t>
  </si>
  <si>
    <t>-----------</t>
  </si>
  <si>
    <t>--------</t>
  </si>
  <si>
    <t>KOS path</t>
  </si>
  <si>
    <t>KOS-SR</t>
  </si>
  <si>
    <t xml:space="preserve">| </t>
  </si>
  <si>
    <t xml:space="preserve"> ---------</t>
  </si>
  <si>
    <t>MhdDocRef18a</t>
  </si>
  <si>
    <t>content.period</t>
  </si>
  <si>
    <t>Accession Number</t>
  </si>
  <si>
    <t>Modalities</t>
  </si>
  <si>
    <t>basedOn[order].identifier</t>
  </si>
  <si>
    <t>Started</t>
  </si>
  <si>
    <t>GeneralStudy</t>
  </si>
  <si>
    <t>Description</t>
  </si>
  <si>
    <t>StudyDescription</t>
  </si>
  <si>
    <t>Sex</t>
  </si>
  <si>
    <t>Name</t>
  </si>
  <si>
    <t>Birthdate</t>
  </si>
  <si>
    <t>birthdate</t>
  </si>
  <si>
    <t>PatientBirthDate</t>
  </si>
  <si>
    <t>PatientSex</t>
  </si>
  <si>
    <t>OrderId</t>
  </si>
  <si>
    <t>PlacerId</t>
  </si>
  <si>
    <t>ReferringPhysiciansName</t>
  </si>
  <si>
    <t>MADO Author</t>
  </si>
  <si>
    <t>GeneralEquipment</t>
  </si>
  <si>
    <t>institution name</t>
  </si>
  <si>
    <t>MadoAuthor</t>
  </si>
  <si>
    <t>series.instances.sopClass</t>
  </si>
  <si>
    <t>SR-TID1602:EV (ddd006, DCM, “Series Instance UID”)</t>
  </si>
  <si>
    <t>SR-TID1602:EV (ddd005, DCM, “Series Number”)</t>
  </si>
  <si>
    <t>SR-TID1602:EV (ddd002, DCM, “Series Description”)</t>
  </si>
  <si>
    <t>SR-TID1602:EV (ddd007, DCM, “Number of Series Related Instances”) </t>
  </si>
  <si>
    <t/>
  </si>
  <si>
    <t>SR-TID1602:EV (123014, DCM, "Target Region")</t>
  </si>
  <si>
    <t>SR-TID1602:EV (ddd003, DCM, "Series Date")</t>
  </si>
  <si>
    <t>SR-TID1601:EV (ddd008, DCM, “Instance Number”)</t>
  </si>
  <si>
    <t>SR-TID1601:EV (121140, DCM, “Number of Frames”)</t>
  </si>
  <si>
    <t>endpoint.locationUid</t>
  </si>
  <si>
    <t>endpoint.url</t>
  </si>
  <si>
    <t>anatomicalRegion</t>
  </si>
  <si>
    <t>extension[anatomicalRegion]</t>
  </si>
  <si>
    <t>SR-TID1600:EV (123014, DCM, "Target Region")</t>
  </si>
  <si>
    <t>series.instance[representative]</t>
  </si>
  <si>
    <t>SR-TID2010:8</t>
  </si>
  <si>
    <t>SR-TID2010:9</t>
  </si>
  <si>
    <t>SR-TID2010:10</t>
  </si>
  <si>
    <t>SR-TID1602:EV (ddd004, DCM, "Series Time")</t>
  </si>
  <si>
    <t>------------------------------------</t>
  </si>
  <si>
    <t>reason</t>
  </si>
  <si>
    <t>Concept</t>
  </si>
  <si>
    <t>instutution type</t>
  </si>
  <si>
    <t>PerformedProcedure</t>
  </si>
  <si>
    <t>RequestedProcedure</t>
  </si>
  <si>
    <t>KeyObjectDocument-CurrentRequestedProcedureEvidenceSequence-Retrieve Location UID</t>
  </si>
  <si>
    <t>KeyObjectDocument-CurrentRequestedProcedureEvidenceSequence-Retrieve URL</t>
  </si>
  <si>
    <t>KeyObjectDocument-Referenced Request Sequence-Study Instance UID</t>
  </si>
  <si>
    <t>MadoImagingStudy.</t>
  </si>
  <si>
    <t>MadoImagingStudy.subject-&gt;Patient.</t>
  </si>
  <si>
    <t>basedOn[order]-&gt;ServiceRequest.</t>
  </si>
  <si>
    <t>MadoAuthor.owner-&gt;Organization.</t>
  </si>
  <si>
    <t>SR-TID1602:EV (121139, DCM, "Modality")</t>
  </si>
  <si>
    <t>endpoint -&gt; XcWadoEndpoint</t>
  </si>
  <si>
    <t>endpoint -&gt; XcWadoEndpoint.extension[locationUid]</t>
  </si>
  <si>
    <t>endpoint -&gt; XcWadoEndpoint.address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</si>
</sst>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sz val="9"/>
      <color rgb="FF000000"/>
      <name val="Times New Roman"/>
      <family val="1"/>
    </font>
    <font>
      <sz val="10"/>
      <color rgb="FF272727"/>
      <name val="Segoe UI"/>
      <family val="2"/>
    </font>
    <font>
      <sz val="10"/>
      <color theme="1"/>
      <name val="Calibri"/>
      <family val="2"/>
      <scheme val="minor"/>
    </font>
    <font>
      <sz val="10"/>
      <color rgb="FF333333"/>
      <name val="Verdana"/>
      <family val="2"/>
    </font>
    <font>
      <sz val="12"/>
      <color theme="1"/>
      <name val="Times New Roman"/>
      <family val="1"/>
    </font>
    <font>
      <sz val="14"/>
      <color rgb="FF000000"/>
      <name val="Arial"/>
      <family val="2"/>
    </font>
    <font>
      <sz val="8"/>
      <color rgb="FF000000"/>
      <name val="Arial"/>
      <family val="2"/>
    </font>
    <font>
      <b/>
      <sz val="14"/>
      <color rgb="FF000000"/>
      <name val="Arial"/>
      <family val="2"/>
    </font>
    <font>
      <sz val="9"/>
      <color theme="1"/>
      <name val="Times New Roman"/>
      <family val="1"/>
    </font>
    <font>
      <sz val="8"/>
      <color theme="1"/>
      <name val="Times New Roman"/>
      <family val="1"/>
    </font>
    <font>
      <sz val="10"/>
      <color theme="1"/>
      <name val="Times New Roman"/>
      <family val="1"/>
    </font>
    <font>
      <b/>
      <sz val="13"/>
      <color theme="3"/>
      <name val="Calibri"/>
      <family val="2"/>
      <scheme val="minor"/>
    </font>
    <font>
      <sz val="8"/>
      <name val="Calibri"/>
      <family val="2"/>
      <scheme val="minor"/>
    </font>
    <font>
      <sz val="11"/>
      <color rgb="FF242424"/>
      <name val="Consolas"/>
      <family val="3"/>
    </font>
  </fonts>
  <fills count="7">
    <fill>
      <patternFill patternType="none"/>
    </fill>
    <fill>
      <patternFill patternType="gray125"/>
    </fill>
    <fill>
      <patternFill patternType="solid">
        <fgColor theme="9" tint="0.79998168889431442"/>
        <bgColor theme="9" tint="0.79998168889431442"/>
      </patternFill>
    </fill>
    <fill>
      <patternFill patternType="solid">
        <fgColor rgb="FFD9D9D9"/>
        <bgColor indexed="64"/>
      </patternFill>
    </fill>
    <fill>
      <patternFill patternType="solid">
        <fgColor rgb="FFCCCCCC"/>
        <bgColor indexed="64"/>
      </patternFill>
    </fill>
    <fill>
      <patternFill patternType="solid">
        <fgColor rgb="FFFFFF00"/>
        <bgColor indexed="64"/>
      </patternFill>
    </fill>
    <fill>
      <patternFill patternType="solid">
        <fgColor theme="4" tint="0.79998168889431442"/>
        <bgColor indexed="64"/>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thick">
        <color theme="4" tint="0.499984740745262"/>
      </bottom>
      <diagonal/>
    </border>
  </borders>
  <cellStyleXfs count="3">
    <xf numFmtId="0" fontId="0" fillId="0" borderId="0"/>
    <xf numFmtId="0" fontId="1" fillId="0" borderId="0" applyNumberFormat="0" applyFill="0" applyBorder="0" applyAlignment="0" applyProtection="0"/>
    <xf numFmtId="0" fontId="13" fillId="0" borderId="6" applyNumberFormat="0" applyFill="0" applyAlignment="0" applyProtection="0"/>
  </cellStyleXfs>
  <cellXfs count="41">
    <xf numFmtId="0" fontId="0" fillId="0" borderId="0" xfId="0"/>
    <xf numFmtId="0" fontId="0" fillId="2" borderId="1" xfId="0" applyFill="1" applyBorder="1"/>
    <xf numFmtId="0" fontId="0" fillId="0" borderId="1" xfId="0" applyBorder="1"/>
    <xf numFmtId="0" fontId="0" fillId="2" borderId="0" xfId="0" applyFill="1"/>
    <xf numFmtId="0" fontId="2" fillId="0" borderId="0" xfId="0" applyFont="1" applyAlignment="1">
      <alignment vertical="center" wrapText="1"/>
    </xf>
    <xf numFmtId="0" fontId="1" fillId="0" borderId="0" xfId="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wrapText="1"/>
    </xf>
    <xf numFmtId="0" fontId="0" fillId="0" borderId="0" xfId="0" quotePrefix="1"/>
    <xf numFmtId="0" fontId="2" fillId="0" borderId="0" xfId="0" applyFont="1"/>
    <xf numFmtId="0" fontId="8" fillId="0" borderId="0" xfId="0" applyFont="1"/>
    <xf numFmtId="0" fontId="1" fillId="0" borderId="0" xfId="1"/>
    <xf numFmtId="0" fontId="0" fillId="0" borderId="0" xfId="0" applyAlignment="1">
      <alignment wrapText="1"/>
    </xf>
    <xf numFmtId="0" fontId="9" fillId="4" borderId="5" xfId="0" applyFont="1" applyFill="1" applyBorder="1" applyAlignment="1">
      <alignment horizontal="center" vertical="center" wrapText="1"/>
    </xf>
    <xf numFmtId="0" fontId="7" fillId="4" borderId="5" xfId="0" applyFont="1" applyFill="1" applyBorder="1" applyAlignment="1">
      <alignment horizontal="left" vertical="center" wrapText="1"/>
    </xf>
    <xf numFmtId="0" fontId="7" fillId="4" borderId="5" xfId="0" applyFont="1" applyFill="1" applyBorder="1" applyAlignment="1">
      <alignment horizontal="left" vertical="top" wrapText="1"/>
    </xf>
    <xf numFmtId="0" fontId="7" fillId="4" borderId="3" xfId="0" applyFont="1" applyFill="1" applyBorder="1" applyAlignment="1">
      <alignment horizontal="left" vertical="center" wrapText="1"/>
    </xf>
    <xf numFmtId="0" fontId="0" fillId="5" borderId="0" xfId="0" applyFill="1"/>
    <xf numFmtId="0" fontId="7" fillId="6" borderId="0" xfId="0" applyFont="1" applyFill="1" applyAlignment="1">
      <alignment horizontal="left" vertical="center" wrapText="1"/>
    </xf>
    <xf numFmtId="0" fontId="11" fillId="0" borderId="0" xfId="0" applyFont="1" applyAlignment="1">
      <alignment vertical="center"/>
    </xf>
    <xf numFmtId="0" fontId="6" fillId="0" borderId="0" xfId="0" applyFont="1" applyAlignment="1">
      <alignment vertical="center"/>
    </xf>
    <xf numFmtId="0" fontId="7" fillId="6" borderId="5" xfId="0" applyFont="1" applyFill="1" applyBorder="1" applyAlignment="1">
      <alignment horizontal="left" vertical="center" wrapText="1"/>
    </xf>
    <xf numFmtId="0" fontId="0" fillId="6" borderId="0" xfId="0" applyFill="1"/>
    <xf numFmtId="0" fontId="0" fillId="0" borderId="0" xfId="0" applyAlignment="1">
      <alignment horizontal="right"/>
    </xf>
    <xf numFmtId="0" fontId="13" fillId="0" borderId="6" xfId="2"/>
    <xf numFmtId="0" fontId="15" fillId="0" borderId="0" xfId="0" applyFont="1"/>
    <xf numFmtId="0" fontId="13" fillId="0" borderId="6" xfId="2" applyAlignment="1">
      <alignment wrapText="1"/>
    </xf>
    <xf numFmtId="0" fontId="0" fillId="0" borderId="2" xfId="0" applyBorder="1" applyAlignment="1">
      <alignment wrapText="1"/>
    </xf>
    <xf numFmtId="0" fontId="0" fillId="2" borderId="2" xfId="0" applyFill="1" applyBorder="1" applyAlignment="1">
      <alignment wrapText="1"/>
    </xf>
    <xf numFmtId="0" fontId="13" fillId="3" borderId="6" xfId="2" applyFill="1" applyAlignment="1">
      <alignment horizontal="center" vertical="center" wrapText="1"/>
    </xf>
    <xf numFmtId="0" fontId="13" fillId="0" borderId="6" xfId="2" quotePrefix="1"/>
    <xf numFmtId="0" fontId="13" fillId="0" borderId="6" xfId="2" applyAlignment="1">
      <alignment horizontal="right"/>
    </xf>
    <xf numFmtId="0" fontId="13" fillId="0" borderId="6" xfId="2" quotePrefix="1" applyAlignment="1">
      <alignment horizontal="right"/>
    </xf>
    <xf numFmtId="0" fontId="13" fillId="0" borderId="6" xfId="2" quotePrefix="1" applyAlignment="1">
      <alignment wrapText="1"/>
    </xf>
    <xf numFmtId="0" fontId="0" fillId="2" borderId="0" xfId="0" applyFill="1" applyAlignment="1">
      <alignment wrapText="1"/>
    </xf>
    <xf numFmtId="0" fontId="2" fillId="0" borderId="3" xfId="0" applyFont="1" applyBorder="1" applyAlignment="1">
      <alignment vertical="center" wrapText="1"/>
    </xf>
    <xf numFmtId="0" fontId="2" fillId="0" borderId="4" xfId="0" applyFont="1" applyBorder="1" applyAlignment="1">
      <alignment vertical="center" wrapText="1"/>
    </xf>
    <xf numFmtId="0" fontId="0" fillId="0" borderId="0" xfId="0" applyAlignment="1">
      <alignment horizontal="left"/>
    </xf>
  </cellXfs>
  <cellStyles count="3">
    <cellStyle name="Heading 2" xfId="2" builtinId="17"/>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dicom.nema.org/medical/dicom/current/output/chtml/part03/sect_C.7.5.html" TargetMode="External"/><Relationship Id="rId13" Type="http://schemas.openxmlformats.org/officeDocument/2006/relationships/hyperlink" Target="http://dicom.nema.org/medical/dicom/current/output/chtml/part03/sect_C.7.5.html" TargetMode="External"/><Relationship Id="rId18" Type="http://schemas.openxmlformats.org/officeDocument/2006/relationships/hyperlink" Target="http://dicom.nema.org/medical/dicom/current/output/chtml/part03/sect_C.7.5.html" TargetMode="External"/><Relationship Id="rId3" Type="http://schemas.openxmlformats.org/officeDocument/2006/relationships/hyperlink" Target="http://dicom.nema.org/medical/dicom/current/output/chtml/part03/sect_C.7.5.html" TargetMode="External"/><Relationship Id="rId7" Type="http://schemas.openxmlformats.org/officeDocument/2006/relationships/hyperlink" Target="http://dicom.nema.org/medical/dicom/current/output/chtml/part03/sect_C.7.5.html" TargetMode="External"/><Relationship Id="rId12" Type="http://schemas.openxmlformats.org/officeDocument/2006/relationships/hyperlink" Target="http://dicom.nema.org/medical/dicom/current/output/chtml/part03/sect_C.7.5.html" TargetMode="External"/><Relationship Id="rId17" Type="http://schemas.openxmlformats.org/officeDocument/2006/relationships/hyperlink" Target="http://dicom.nema.org/medical/dicom/current/output/chtml/part03/sect_C.7.5.html" TargetMode="External"/><Relationship Id="rId2" Type="http://schemas.openxmlformats.org/officeDocument/2006/relationships/hyperlink" Target="http://dicom.nema.org/medical/dicom/current/output/chtml/part03/sect_C.7.2.html" TargetMode="External"/><Relationship Id="rId16" Type="http://schemas.openxmlformats.org/officeDocument/2006/relationships/hyperlink" Target="http://dicom.nema.org/medical/dicom/current/output/chtml/part03/sect_C.7.html" TargetMode="External"/><Relationship Id="rId1" Type="http://schemas.openxmlformats.org/officeDocument/2006/relationships/hyperlink" Target="http://dicom.nema.org/medical/dicom/current/output/chtml/part03/sect_C.7.html" TargetMode="External"/><Relationship Id="rId6" Type="http://schemas.openxmlformats.org/officeDocument/2006/relationships/hyperlink" Target="http://dicom.nema.org/medical/dicom/current/output/chtml/part03/sect_C.12.html" TargetMode="External"/><Relationship Id="rId11" Type="http://schemas.openxmlformats.org/officeDocument/2006/relationships/hyperlink" Target="http://dicom.nema.org/medical/dicom/current/output/chtml/part03/sect_C.7.5.html" TargetMode="External"/><Relationship Id="rId5" Type="http://schemas.openxmlformats.org/officeDocument/2006/relationships/hyperlink" Target="http://dicom.nema.org/medical/dicom/current/output/chtml/part03/sect_C.17.3.html" TargetMode="External"/><Relationship Id="rId15" Type="http://schemas.openxmlformats.org/officeDocument/2006/relationships/hyperlink" Target="http://dicom.nema.org/medical/dicom/current/output/chtml/part03/sect_C.12.html" TargetMode="External"/><Relationship Id="rId10" Type="http://schemas.openxmlformats.org/officeDocument/2006/relationships/hyperlink" Target="http://dicom.nema.org/medical/dicom/current/output/chtml/part03/sect_C.7.5.html" TargetMode="External"/><Relationship Id="rId19" Type="http://schemas.openxmlformats.org/officeDocument/2006/relationships/printerSettings" Target="../printerSettings/printerSettings2.bin"/><Relationship Id="rId4" Type="http://schemas.openxmlformats.org/officeDocument/2006/relationships/hyperlink" Target="http://dicom.nema.org/medical/dicom/current/output/chtml/part03/sect_C.17.6.2.html" TargetMode="External"/><Relationship Id="rId9" Type="http://schemas.openxmlformats.org/officeDocument/2006/relationships/hyperlink" Target="http://dicom.nema.org/medical/dicom/current/output/chtml/part03/sect_C.7.5.html" TargetMode="External"/><Relationship Id="rId14" Type="http://schemas.openxmlformats.org/officeDocument/2006/relationships/hyperlink" Target="http://dicom.nema.org/medical/dicom/current/output/chtml/part03/sect_C.7.5.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19"/>
  <sheetViews>
    <sheetView topLeftCell="A20" zoomScale="85" zoomScaleNormal="85" workbookViewId="0">
      <selection activeCell="A43" sqref="A43"/>
    </sheetView>
    <sheetView workbookViewId="1">
      <pane xSplit="5" ySplit="1" topLeftCell="F101" activePane="bottomRight" state="frozen"/>
      <selection pane="topRight" activeCell="F1" sqref="F1"/>
      <selection pane="bottomLeft" activeCell="A2" sqref="A2"/>
      <selection pane="bottomRight" activeCell="E107" sqref="E107"/>
    </sheetView>
  </sheetViews>
  <sheetFormatPr defaultRowHeight="15" x14ac:dyDescent="0.25"/>
  <cols>
    <col min="1" max="1" width="24.85546875" bestFit="1" customWidth="1"/>
    <col min="2" max="2" width="20.28515625" customWidth="1"/>
    <col min="3" max="3" width="47.5703125" bestFit="1" customWidth="1"/>
    <col min="5" max="6" width="74.85546875" customWidth="1"/>
    <col min="7" max="7" width="21.42578125" customWidth="1"/>
    <col min="8" max="8" width="4" customWidth="1"/>
    <col min="9" max="9" width="68.7109375" bestFit="1" customWidth="1"/>
    <col min="10" max="10" width="4" customWidth="1"/>
    <col min="11" max="11" width="74.85546875" customWidth="1"/>
    <col min="12" max="12" width="4" customWidth="1"/>
    <col min="13" max="13" width="74.85546875" style="15" customWidth="1"/>
    <col min="14" max="16" width="4" customWidth="1"/>
    <col min="17" max="17" width="42.85546875" customWidth="1"/>
    <col min="19" max="19" width="25.5703125" bestFit="1" customWidth="1"/>
    <col min="20" max="20" width="47.140625" bestFit="1" customWidth="1"/>
    <col min="24" max="24" width="17.5703125" style="15" bestFit="1" customWidth="1"/>
    <col min="25" max="25" width="24.85546875" bestFit="1" customWidth="1"/>
  </cols>
  <sheetData>
    <row r="1" spans="1:24" s="27" customFormat="1" ht="18" thickBot="1" x14ac:dyDescent="0.35">
      <c r="A1" s="27" t="s">
        <v>846</v>
      </c>
      <c r="B1" s="27" t="s">
        <v>0</v>
      </c>
      <c r="G1" s="33"/>
      <c r="H1" s="11" t="s">
        <v>992</v>
      </c>
      <c r="I1" s="27" t="s">
        <v>578</v>
      </c>
      <c r="J1" s="33" t="s">
        <v>992</v>
      </c>
      <c r="K1" s="27" t="s">
        <v>528</v>
      </c>
      <c r="L1" s="11" t="s">
        <v>992</v>
      </c>
      <c r="M1" s="29" t="s">
        <v>279</v>
      </c>
      <c r="N1" s="11" t="s">
        <v>992</v>
      </c>
      <c r="O1" s="11"/>
      <c r="P1" s="11"/>
      <c r="Q1" s="27" t="s">
        <v>283</v>
      </c>
      <c r="R1" s="27" t="s">
        <v>989</v>
      </c>
    </row>
    <row r="2" spans="1:24" ht="15.75" thickTop="1" x14ac:dyDescent="0.25">
      <c r="G2" s="11"/>
      <c r="H2" s="11" t="s">
        <v>992</v>
      </c>
      <c r="I2" s="11" t="s">
        <v>993</v>
      </c>
      <c r="J2" s="11" t="s">
        <v>992</v>
      </c>
      <c r="K2" s="11" t="s">
        <v>993</v>
      </c>
      <c r="L2" s="11" t="s">
        <v>992</v>
      </c>
      <c r="M2" s="11" t="s">
        <v>993</v>
      </c>
      <c r="N2" s="11" t="s">
        <v>992</v>
      </c>
      <c r="O2" s="11"/>
      <c r="P2" s="11"/>
      <c r="X2"/>
    </row>
    <row r="3" spans="1:24" ht="18" thickBot="1" x14ac:dyDescent="0.35">
      <c r="A3" t="s">
        <v>533</v>
      </c>
      <c r="B3" t="s">
        <v>1</v>
      </c>
      <c r="D3" t="s">
        <v>3</v>
      </c>
      <c r="E3" t="s">
        <v>2</v>
      </c>
      <c r="H3" s="11" t="s">
        <v>992</v>
      </c>
      <c r="I3" t="str">
        <f>B3&amp;IF(LEN(TRIM(C3))&gt;0,"-","")&amp;C3</f>
        <v>EHDSImagingStudy</v>
      </c>
      <c r="J3" s="33" t="s">
        <v>992</v>
      </c>
      <c r="K3" t="str">
        <f>IF(LEN(A3)&gt;0,_xlfn.IFNA(_xlfn.XLOOKUP(A3,FHIR!M:M,FHIR!C:C),""),"")</f>
        <v/>
      </c>
      <c r="L3" s="11" t="s">
        <v>992</v>
      </c>
      <c r="M3" s="15" t="str">
        <f>IF(LEN(TRIM(Q3))&gt;0,Q3,R3)</f>
        <v/>
      </c>
      <c r="N3" s="11" t="s">
        <v>992</v>
      </c>
      <c r="O3" s="11"/>
      <c r="P3" s="11"/>
      <c r="R3" t="str">
        <f>IF(LEN(A3)&gt;0,_xlfn.IFNA(_xlfn.XLOOKUP(A3,'KOS SR'!X:X,'KOS SR'!N:N),""),"")</f>
        <v/>
      </c>
      <c r="X3"/>
    </row>
    <row r="4" spans="1:24" ht="18.75" thickTop="1" thickBot="1" x14ac:dyDescent="0.35">
      <c r="A4" t="s">
        <v>534</v>
      </c>
      <c r="B4" t="s">
        <v>1</v>
      </c>
      <c r="C4" t="s">
        <v>589</v>
      </c>
      <c r="D4" t="s">
        <v>5</v>
      </c>
      <c r="E4" t="s">
        <v>48</v>
      </c>
      <c r="F4" t="str">
        <f>SUBSTITUTE(E4," http://www.xt-ehr.eu/fhir/models/StructureDefinition/", "" )</f>
        <v xml:space="preserve"> Base</v>
      </c>
      <c r="H4" s="11" t="s">
        <v>992</v>
      </c>
      <c r="I4" t="str">
        <f t="shared" ref="I4:I76" si="0">B4&amp;IF(LEN(TRIM(C4))&gt;0,"-","")&amp;C4</f>
        <v>EHDSImagingStudy-header</v>
      </c>
      <c r="J4" s="33" t="s">
        <v>992</v>
      </c>
      <c r="K4" t="str">
        <f>IF(LEN(A4)&gt;0,_xlfn.IFNA(_xlfn.XLOOKUP(A4,FHIR!M:M,FHIR!E:E),""),"")</f>
        <v/>
      </c>
      <c r="L4" s="11" t="s">
        <v>992</v>
      </c>
      <c r="M4" s="15" t="str">
        <f t="shared" ref="M4:M76" si="1">IF(LEN(TRIM(Q4))&gt;0,Q4,R4)</f>
        <v/>
      </c>
      <c r="N4" s="11" t="s">
        <v>992</v>
      </c>
      <c r="O4" s="11"/>
      <c r="P4" s="11"/>
      <c r="R4" t="str">
        <f>IF(LEN(A4)&gt;0,_xlfn.IFNA(_xlfn.XLOOKUP(A4,'KOS SR'!X:X,'KOS SR'!N:N),""),"")</f>
        <v/>
      </c>
      <c r="X4"/>
    </row>
    <row r="5" spans="1:24" ht="18.75" thickTop="1" thickBot="1" x14ac:dyDescent="0.35">
      <c r="A5" t="s">
        <v>535</v>
      </c>
      <c r="B5" t="s">
        <v>1</v>
      </c>
      <c r="C5" t="s">
        <v>590</v>
      </c>
      <c r="D5" t="s">
        <v>5</v>
      </c>
      <c r="E5" t="s">
        <v>49</v>
      </c>
      <c r="F5" t="str">
        <f>SUBSTITUTE(E5," http://www.xt-ehr.eu/fhir/models/StructureDefinition/", "" )</f>
        <v>EHDSPatient</v>
      </c>
      <c r="H5" s="11" t="s">
        <v>992</v>
      </c>
      <c r="I5" t="str">
        <f t="shared" si="0"/>
        <v>EHDSImagingStudy-header.subject</v>
      </c>
      <c r="J5" s="33" t="s">
        <v>992</v>
      </c>
      <c r="K5" t="str">
        <f>IF(LEN(A5)&gt;0,_xlfn.IFNA(_xlfn.XLOOKUP(A5,FHIR!M:M,FHIR!E:E),""),"")</f>
        <v>ImagingStudy.subject</v>
      </c>
      <c r="L5" s="11" t="s">
        <v>992</v>
      </c>
      <c r="M5" s="15" t="str">
        <f t="shared" si="1"/>
        <v>PatientModule</v>
      </c>
      <c r="N5" s="11" t="s">
        <v>992</v>
      </c>
      <c r="O5" s="11"/>
      <c r="P5" s="11"/>
      <c r="Q5" t="str">
        <f>IF(LEN(A5)&gt;0,_xlfn.IFNA(_xlfn.XLOOKUP(A5,KOS!U:U,KOS!N:N),""),"")</f>
        <v>PatientModule</v>
      </c>
      <c r="R5" t="str">
        <f>IF(LEN(A5)&gt;0,_xlfn.IFNA(_xlfn.XLOOKUP(A5,'KOS SR'!X:X,'KOS SR'!N:N),""),"")</f>
        <v/>
      </c>
      <c r="X5"/>
    </row>
    <row r="6" spans="1:24" ht="18.75" thickTop="1" thickBot="1" x14ac:dyDescent="0.35">
      <c r="A6" t="s">
        <v>536</v>
      </c>
      <c r="B6" t="s">
        <v>1</v>
      </c>
      <c r="C6" t="s">
        <v>7</v>
      </c>
      <c r="D6" t="s">
        <v>8</v>
      </c>
      <c r="E6" t="s">
        <v>50</v>
      </c>
      <c r="F6" t="str">
        <f t="shared" ref="F6:F43" si="2">SUBSTITUTE(E6," http://www.xt-ehr.eu/fhir/models/StructureDefinition/", "" )</f>
        <v xml:space="preserve"> Identifier</v>
      </c>
      <c r="H6" s="11" t="s">
        <v>992</v>
      </c>
      <c r="I6" t="str">
        <f t="shared" si="0"/>
        <v>EHDSImagingStudy- header.identifier</v>
      </c>
      <c r="J6" s="33" t="s">
        <v>992</v>
      </c>
      <c r="K6" t="str">
        <f>IF(LEN(A6)&gt;0,_xlfn.IFNA(_xlfn.XLOOKUP(A6,FHIR!M:M,FHIR!E:E),""),"")</f>
        <v>ImagingStudy.identifier[studyInstanceUid]</v>
      </c>
      <c r="L6" s="11" t="s">
        <v>992</v>
      </c>
      <c r="M6" s="15" t="str">
        <f t="shared" si="1"/>
        <v>General Study-StudyInstanceUID</v>
      </c>
      <c r="N6" s="11" t="s">
        <v>992</v>
      </c>
      <c r="O6" s="11"/>
      <c r="P6" s="11"/>
      <c r="Q6" t="str">
        <f>IF(LEN(A6)&gt;0,_xlfn.IFNA(_xlfn.XLOOKUP(A6,KOS!U:U,KOS!N:N),""),"")</f>
        <v>General Study-StudyInstanceUID</v>
      </c>
      <c r="R6" t="str">
        <f>IF(LEN(A6)&gt;0,_xlfn.IFNA(_xlfn.XLOOKUP(A6,'KOS SR'!X:X,'KOS SR'!N:N),""),"")</f>
        <v>SR-TID1600:EV (ddd011, DCM, “Study Instance UID”)</v>
      </c>
      <c r="X6"/>
    </row>
    <row r="7" spans="1:24" ht="18.75" thickTop="1" thickBot="1" x14ac:dyDescent="0.35">
      <c r="A7" t="s">
        <v>537</v>
      </c>
      <c r="B7" t="s">
        <v>1</v>
      </c>
      <c r="C7" t="s">
        <v>9</v>
      </c>
      <c r="D7" t="s">
        <v>8</v>
      </c>
      <c r="E7" t="s">
        <v>51</v>
      </c>
      <c r="F7" t="str">
        <f t="shared" si="2"/>
        <v>EHDSHealthProfessional</v>
      </c>
      <c r="H7" s="11" t="s">
        <v>992</v>
      </c>
      <c r="I7" t="str">
        <f t="shared" si="0"/>
        <v>EHDSImagingStudy- header.author[x]</v>
      </c>
      <c r="J7" s="33" t="s">
        <v>992</v>
      </c>
      <c r="K7" t="str">
        <f>IF(LEN(A7)&gt;0,_xlfn.IFNA(_xlfn.XLOOKUP(A7,FHIR!M:M,FHIR!E:E),""),"")</f>
        <v/>
      </c>
      <c r="L7" s="11" t="s">
        <v>992</v>
      </c>
      <c r="M7" s="15" t="str">
        <f t="shared" si="1"/>
        <v/>
      </c>
      <c r="N7" s="11" t="s">
        <v>992</v>
      </c>
      <c r="O7" s="11"/>
      <c r="P7" s="11"/>
      <c r="Q7" t="str">
        <f>IF(LEN(A7)&gt;0,_xlfn.IFNA(_xlfn.XLOOKUP(A7,KOS!U:U,KOS!N:N),""),"")</f>
        <v/>
      </c>
      <c r="R7" t="str">
        <f>IF(LEN(A7)&gt;0,_xlfn.IFNA(_xlfn.XLOOKUP(A7,'KOS SR'!X:X,'KOS SR'!N:N),""),"")</f>
        <v/>
      </c>
      <c r="X7"/>
    </row>
    <row r="8" spans="1:24" ht="18.75" thickTop="1" thickBot="1" x14ac:dyDescent="0.35">
      <c r="A8" t="s">
        <v>538</v>
      </c>
      <c r="B8" t="s">
        <v>1</v>
      </c>
      <c r="C8" t="s">
        <v>605</v>
      </c>
      <c r="D8" t="s">
        <v>8</v>
      </c>
      <c r="E8" t="s">
        <v>52</v>
      </c>
      <c r="F8" t="str">
        <f t="shared" si="2"/>
        <v>EHDSOrganisation</v>
      </c>
      <c r="H8" s="11" t="s">
        <v>992</v>
      </c>
      <c r="I8" t="str">
        <f t="shared" si="0"/>
        <v>EHDSImagingStudy- header.author[EHDSOrganization]</v>
      </c>
      <c r="J8" s="33" t="s">
        <v>992</v>
      </c>
      <c r="K8" t="str">
        <f>IF(LEN(A8)&gt;0,_xlfn.IFNA(_xlfn.XLOOKUP(A8,FHIR!M:M,FHIR!E:E),""),"")</f>
        <v>MhDDocumentReference.author[organization]</v>
      </c>
      <c r="L8" s="11" t="s">
        <v>992</v>
      </c>
      <c r="M8" s="15" t="str">
        <f t="shared" si="1"/>
        <v>General Equipment-Institution Name</v>
      </c>
      <c r="N8" s="11" t="s">
        <v>992</v>
      </c>
      <c r="O8" s="11"/>
      <c r="P8" s="11"/>
      <c r="Q8" t="str">
        <f>IF(LEN(A8)&gt;0,_xlfn.IFNA(_xlfn.XLOOKUP(A8,KOS!U:U,KOS!N:N),""),"")</f>
        <v>General Equipment-Institution Name</v>
      </c>
      <c r="R8" t="str">
        <f>IF(LEN(A8)&gt;0,_xlfn.IFNA(_xlfn.XLOOKUP(A8,'KOS SR'!X:X,'KOS SR'!N:N),""),"")</f>
        <v/>
      </c>
      <c r="X8"/>
    </row>
    <row r="9" spans="1:24" ht="18.75" thickTop="1" thickBot="1" x14ac:dyDescent="0.35">
      <c r="A9" t="s">
        <v>539</v>
      </c>
      <c r="B9" t="s">
        <v>1</v>
      </c>
      <c r="C9" t="s">
        <v>606</v>
      </c>
      <c r="D9" t="s">
        <v>8</v>
      </c>
      <c r="E9" t="s">
        <v>53</v>
      </c>
      <c r="F9" t="str">
        <f t="shared" si="2"/>
        <v>EHDSDevice</v>
      </c>
      <c r="H9" s="11" t="s">
        <v>992</v>
      </c>
      <c r="I9" t="str">
        <f t="shared" si="0"/>
        <v>EHDSImagingStudy- header.author[EHDSDevice]</v>
      </c>
      <c r="J9" s="33" t="s">
        <v>992</v>
      </c>
      <c r="K9" t="str">
        <f>IF(LEN(A9)&gt;0,_xlfn.IFNA(_xlfn.XLOOKUP(A9,FHIR!M:M,FHIR!E:E),""),"")</f>
        <v>MhDDocumentReference.author[madoDevice]</v>
      </c>
      <c r="L9" s="11" t="s">
        <v>992</v>
      </c>
      <c r="M9" s="15" t="str">
        <f t="shared" si="1"/>
        <v>General Equipment-Manufacturer</v>
      </c>
      <c r="N9" s="11" t="s">
        <v>992</v>
      </c>
      <c r="O9" s="11"/>
      <c r="P9" s="11"/>
      <c r="Q9" t="str">
        <f>IF(LEN(A9)&gt;0,_xlfn.IFNA(_xlfn.XLOOKUP(A9,KOS!U:U,KOS!N:N),""),"")</f>
        <v>General Equipment-Manufacturer</v>
      </c>
      <c r="R9" t="str">
        <f>IF(LEN(A9)&gt;0,_xlfn.IFNA(_xlfn.XLOOKUP(A9,'KOS SR'!X:X,'KOS SR'!N:N),""),"")</f>
        <v/>
      </c>
      <c r="X9"/>
    </row>
    <row r="10" spans="1:24" ht="18.75" thickTop="1" thickBot="1" x14ac:dyDescent="0.35">
      <c r="A10" t="s">
        <v>540</v>
      </c>
      <c r="B10" t="s">
        <v>1</v>
      </c>
      <c r="C10" t="s">
        <v>10</v>
      </c>
      <c r="D10" t="s">
        <v>5</v>
      </c>
      <c r="E10" t="s">
        <v>54</v>
      </c>
      <c r="F10" t="str">
        <f t="shared" si="2"/>
        <v xml:space="preserve"> dateTime</v>
      </c>
      <c r="H10" s="11" t="s">
        <v>992</v>
      </c>
      <c r="I10" t="str">
        <f t="shared" si="0"/>
        <v>EHDSImagingStudy- header.date</v>
      </c>
      <c r="J10" s="33" t="s">
        <v>992</v>
      </c>
      <c r="K10" t="str">
        <f>IF(LEN(A10)&gt;0,_xlfn.IFNA(_xlfn.XLOOKUP(A10,FHIR!M:M,FHIR!E:E),""),"")</f>
        <v/>
      </c>
      <c r="L10" s="11" t="s">
        <v>992</v>
      </c>
      <c r="M10" s="15" t="str">
        <f t="shared" si="1"/>
        <v>Key Object Document-Content Date</v>
      </c>
      <c r="N10" s="11" t="s">
        <v>992</v>
      </c>
      <c r="O10" s="11"/>
      <c r="P10" s="11"/>
      <c r="Q10" t="str">
        <f>IF(LEN(A10)&gt;0,_xlfn.IFNA(_xlfn.XLOOKUP(A10,KOS!U:U,KOS!N:N),""),"")</f>
        <v>Key Object Document-Content Date</v>
      </c>
      <c r="R10" t="str">
        <f>IF(LEN(A10)&gt;0,_xlfn.IFNA(_xlfn.XLOOKUP(A10,'KOS SR'!X:X,'KOS SR'!N:N),""),"")</f>
        <v/>
      </c>
      <c r="X10"/>
    </row>
    <row r="11" spans="1:24" ht="18.75" thickTop="1" thickBot="1" x14ac:dyDescent="0.35">
      <c r="A11" t="s">
        <v>541</v>
      </c>
      <c r="B11" t="s">
        <v>1</v>
      </c>
      <c r="C11" t="s">
        <v>11</v>
      </c>
      <c r="D11" t="s">
        <v>5</v>
      </c>
      <c r="E11" t="s">
        <v>55</v>
      </c>
      <c r="F11" t="str">
        <f t="shared" si="2"/>
        <v xml:space="preserve"> CodeableConcept</v>
      </c>
      <c r="H11" s="11" t="s">
        <v>992</v>
      </c>
      <c r="I11" t="str">
        <f t="shared" si="0"/>
        <v>EHDSImagingStudy- header.status</v>
      </c>
      <c r="J11" s="33" t="s">
        <v>992</v>
      </c>
      <c r="K11" t="str">
        <f>IF(LEN(A11)&gt;0,_xlfn.IFNA(_xlfn.XLOOKUP(A11,FHIR!M:M,FHIR!E:E),""),"")</f>
        <v>ImagingStudy.status</v>
      </c>
      <c r="L11" s="11" t="s">
        <v>992</v>
      </c>
      <c r="M11" s="15" t="str">
        <f t="shared" si="1"/>
        <v/>
      </c>
      <c r="N11" s="11" t="s">
        <v>992</v>
      </c>
      <c r="O11" s="11"/>
      <c r="P11" s="11"/>
      <c r="Q11" t="str">
        <f>IF(LEN(A11)&gt;0,_xlfn.IFNA(_xlfn.XLOOKUP(A11,KOS!U:U,KOS!N:N),""),"")</f>
        <v/>
      </c>
      <c r="R11" t="str">
        <f>IF(LEN(A11)&gt;0,_xlfn.IFNA(_xlfn.XLOOKUP(A11,'KOS SR'!X:X,'KOS SR'!N:N),""),"")</f>
        <v/>
      </c>
      <c r="X11"/>
    </row>
    <row r="12" spans="1:24" ht="18.75" thickTop="1" thickBot="1" x14ac:dyDescent="0.35">
      <c r="A12" t="s">
        <v>542</v>
      </c>
      <c r="B12" t="s">
        <v>1</v>
      </c>
      <c r="C12" t="s">
        <v>12</v>
      </c>
      <c r="D12" t="s">
        <v>13</v>
      </c>
      <c r="E12" t="s">
        <v>55</v>
      </c>
      <c r="F12" t="str">
        <f t="shared" si="2"/>
        <v xml:space="preserve"> CodeableConcept</v>
      </c>
      <c r="H12" s="11" t="s">
        <v>992</v>
      </c>
      <c r="I12" t="str">
        <f t="shared" si="0"/>
        <v>EHDSImagingStudy- header.language</v>
      </c>
      <c r="J12" s="33" t="s">
        <v>992</v>
      </c>
      <c r="K12" t="str">
        <f>IF(LEN(A12)&gt;0,_xlfn.IFNA(_xlfn.XLOOKUP(A12,FHIR!M:M,FHIR!E:E),""),"")</f>
        <v>ImagingStudy.language</v>
      </c>
      <c r="L12" s="11" t="s">
        <v>992</v>
      </c>
      <c r="M12" s="15" t="str">
        <f t="shared" si="1"/>
        <v/>
      </c>
      <c r="N12" s="11" t="s">
        <v>992</v>
      </c>
      <c r="O12" s="11"/>
      <c r="P12" s="11"/>
      <c r="Q12" t="str">
        <f>IF(LEN(A12)&gt;0,_xlfn.IFNA(_xlfn.XLOOKUP(A12,KOS!U:U,KOS!N:N),""),"")</f>
        <v/>
      </c>
      <c r="R12" t="str">
        <f>IF(LEN(A12)&gt;0,_xlfn.IFNA(_xlfn.XLOOKUP(A12,'KOS SR'!X:X,'KOS SR'!N:N),""),"")</f>
        <v/>
      </c>
      <c r="X12"/>
    </row>
    <row r="13" spans="1:24" ht="18.75" thickTop="1" thickBot="1" x14ac:dyDescent="0.35">
      <c r="A13" t="s">
        <v>543</v>
      </c>
      <c r="B13" t="s">
        <v>1</v>
      </c>
      <c r="C13" t="s">
        <v>14</v>
      </c>
      <c r="D13" t="s">
        <v>3</v>
      </c>
      <c r="E13" t="s">
        <v>55</v>
      </c>
      <c r="F13" t="str">
        <f t="shared" si="2"/>
        <v xml:space="preserve"> CodeableConcept</v>
      </c>
      <c r="H13" s="11" t="s">
        <v>992</v>
      </c>
      <c r="I13" t="str">
        <f t="shared" si="0"/>
        <v>EHDSImagingStudy- modality</v>
      </c>
      <c r="J13" s="33" t="s">
        <v>992</v>
      </c>
      <c r="K13" t="str">
        <f>IF(LEN(A13)&gt;0,_xlfn.IFNA(_xlfn.XLOOKUP(A13,FHIR!M:M,FHIR!E:E),""),"")</f>
        <v>ImagingStudy.modality</v>
      </c>
      <c r="L13" s="11" t="s">
        <v>992</v>
      </c>
      <c r="M13" s="15" t="str">
        <f t="shared" si="1"/>
        <v>General Study-Modality</v>
      </c>
      <c r="N13" s="11" t="s">
        <v>992</v>
      </c>
      <c r="O13" s="11"/>
      <c r="P13" s="11"/>
      <c r="Q13" t="str">
        <f>IF(LEN(A13)&gt;0,_xlfn.IFNA(_xlfn.XLOOKUP(A13,KOS!U:U,KOS!N:N),""),"")</f>
        <v>General Study-Modality</v>
      </c>
      <c r="R13" t="str">
        <f>IF(LEN(A13)&gt;0,_xlfn.IFNA(_xlfn.XLOOKUP(A13,'KOS SR'!X:X,'KOS SR'!N:N),""),"")</f>
        <v>SR-TID1600:EV (121139, DCM, "Modality")</v>
      </c>
      <c r="X13"/>
    </row>
    <row r="14" spans="1:24" ht="18.75" thickTop="1" thickBot="1" x14ac:dyDescent="0.35">
      <c r="A14" t="s">
        <v>544</v>
      </c>
      <c r="B14" t="s">
        <v>1</v>
      </c>
      <c r="C14" t="s">
        <v>15</v>
      </c>
      <c r="D14" t="s">
        <v>3</v>
      </c>
      <c r="E14" t="s">
        <v>56</v>
      </c>
      <c r="F14" t="str">
        <f t="shared" si="2"/>
        <v>EHDSBodyStructure</v>
      </c>
      <c r="H14" s="11" t="s">
        <v>992</v>
      </c>
      <c r="I14" t="str">
        <f t="shared" si="0"/>
        <v>EHDSImagingStudy- bodySite</v>
      </c>
      <c r="J14" s="33" t="s">
        <v>992</v>
      </c>
      <c r="K14" t="str">
        <f>IF(LEN(A14)&gt;0,_xlfn.IFNA(_xlfn.XLOOKUP(A14,FHIR!M:M,FHIR!E:E),""),"")</f>
        <v>ImagingStudy.extension[anatomical]</v>
      </c>
      <c r="L14" s="11" t="s">
        <v>992</v>
      </c>
      <c r="M14" s="15" t="str">
        <f t="shared" si="1"/>
        <v>SR-TID1600:EV (123014, DCM, "Target Region")</v>
      </c>
      <c r="N14" s="11" t="s">
        <v>992</v>
      </c>
      <c r="O14" s="11"/>
      <c r="P14" s="11"/>
      <c r="Q14" t="str">
        <f>IF(LEN(A14)&gt;0,_xlfn.IFNA(_xlfn.XLOOKUP(A14,KOS!U:U,KOS!N:N),""),"")</f>
        <v/>
      </c>
      <c r="R14" t="str">
        <f>IF(LEN(A14)&gt;0,_xlfn.IFNA(_xlfn.XLOOKUP(A14,'KOS SR'!X:X,'KOS SR'!N:N),""),"")</f>
        <v>SR-TID1600:EV (123014, DCM, "Target Region")</v>
      </c>
      <c r="X14"/>
    </row>
    <row r="15" spans="1:24" ht="18.75" thickTop="1" thickBot="1" x14ac:dyDescent="0.35">
      <c r="A15" t="s">
        <v>545</v>
      </c>
      <c r="B15" t="s">
        <v>1</v>
      </c>
      <c r="C15" t="s">
        <v>16</v>
      </c>
      <c r="D15" t="s">
        <v>13</v>
      </c>
      <c r="E15" t="s">
        <v>57</v>
      </c>
      <c r="F15" t="str">
        <f t="shared" si="2"/>
        <v>EHDSEncounter</v>
      </c>
      <c r="H15" s="11" t="s">
        <v>992</v>
      </c>
      <c r="I15" t="str">
        <f t="shared" si="0"/>
        <v>EHDSImagingStudy- encounter</v>
      </c>
      <c r="J15" s="33" t="s">
        <v>992</v>
      </c>
      <c r="K15" t="str">
        <f>IF(LEN(A15)&gt;0,_xlfn.IFNA(_xlfn.XLOOKUP(A15,FHIR!M:M,FHIR!E:E),""),"")</f>
        <v>ImagingStudy.encounter</v>
      </c>
      <c r="L15" s="11" t="s">
        <v>992</v>
      </c>
      <c r="M15" s="15" t="str">
        <f t="shared" si="1"/>
        <v/>
      </c>
      <c r="N15" s="11" t="s">
        <v>992</v>
      </c>
      <c r="O15" s="11"/>
      <c r="P15" s="11"/>
      <c r="Q15" t="str">
        <f>IF(LEN(A15)&gt;0,_xlfn.IFNA(_xlfn.XLOOKUP(A15,KOS!U:U,KOS!N:N),""),"")</f>
        <v/>
      </c>
      <c r="R15" t="str">
        <f>IF(LEN(A15)&gt;0,_xlfn.IFNA(_xlfn.XLOOKUP(A15,'KOS SR'!X:X,'KOS SR'!N:N),""),"")</f>
        <v/>
      </c>
      <c r="X15"/>
    </row>
    <row r="16" spans="1:24" ht="18.75" thickTop="1" thickBot="1" x14ac:dyDescent="0.35">
      <c r="A16" t="s">
        <v>546</v>
      </c>
      <c r="B16" t="s">
        <v>1</v>
      </c>
      <c r="C16" t="s">
        <v>17</v>
      </c>
      <c r="D16" t="s">
        <v>13</v>
      </c>
      <c r="E16" t="s">
        <v>54</v>
      </c>
      <c r="F16" t="str">
        <f t="shared" si="2"/>
        <v xml:space="preserve"> dateTime</v>
      </c>
      <c r="H16" s="11" t="s">
        <v>992</v>
      </c>
      <c r="I16" t="str">
        <f t="shared" si="0"/>
        <v>EHDSImagingStudy- started</v>
      </c>
      <c r="J16" s="33" t="s">
        <v>992</v>
      </c>
      <c r="K16" t="str">
        <f>IF(LEN(A16)&gt;0,_xlfn.IFNA(_xlfn.XLOOKUP(A16,FHIR!M:M,FHIR!E:E),""),"")</f>
        <v>ImagingStudy.started</v>
      </c>
      <c r="L16" s="11" t="s">
        <v>992</v>
      </c>
      <c r="M16" s="15" t="str">
        <f t="shared" si="1"/>
        <v>General Study-StudyDate</v>
      </c>
      <c r="N16" s="11" t="s">
        <v>992</v>
      </c>
      <c r="O16" s="11"/>
      <c r="P16" s="11"/>
      <c r="Q16" t="str">
        <f>IF(LEN(A16)&gt;0,_xlfn.IFNA(_xlfn.XLOOKUP(A16,KOS!U:U,KOS!N:N),""),"")</f>
        <v>General Study-StudyDate</v>
      </c>
      <c r="R16" t="str">
        <f>IF(LEN(A16)&gt;0,_xlfn.IFNA(_xlfn.XLOOKUP(A16,'KOS SR'!X:X,'KOS SR'!N:N),""),"")</f>
        <v/>
      </c>
      <c r="X16"/>
    </row>
    <row r="17" spans="1:24" ht="18.75" thickTop="1" thickBot="1" x14ac:dyDescent="0.35">
      <c r="A17" t="s">
        <v>547</v>
      </c>
      <c r="B17" t="s">
        <v>1</v>
      </c>
      <c r="C17" t="s">
        <v>18</v>
      </c>
      <c r="D17" t="s">
        <v>3</v>
      </c>
      <c r="E17" t="s">
        <v>58</v>
      </c>
      <c r="F17" t="str">
        <f t="shared" si="2"/>
        <v>EHDSServiceRequest</v>
      </c>
      <c r="H17" s="11" t="s">
        <v>992</v>
      </c>
      <c r="I17" t="str">
        <f t="shared" si="0"/>
        <v>EHDSImagingStudy- basedOn</v>
      </c>
      <c r="J17" s="33" t="s">
        <v>992</v>
      </c>
      <c r="K17" t="str">
        <f>IF(LEN(A17)&gt;0,_xlfn.IFNA(_xlfn.XLOOKUP(A17,FHIR!M:M,FHIR!E:E),""),"")</f>
        <v>ImagingStudy.basedOn</v>
      </c>
      <c r="L17" s="11" t="s">
        <v>992</v>
      </c>
      <c r="M17" s="15" t="str">
        <f t="shared" si="1"/>
        <v/>
      </c>
      <c r="N17" s="11" t="s">
        <v>992</v>
      </c>
      <c r="O17" s="11"/>
      <c r="P17" s="11"/>
      <c r="Q17" t="str">
        <f>IF(LEN(A17)&gt;0,_xlfn.IFNA(_xlfn.XLOOKUP(A17,KOS!U:U,KOS!N:N),""),"")</f>
        <v/>
      </c>
      <c r="R17" t="str">
        <f>IF(LEN(A17)&gt;0,_xlfn.IFNA(_xlfn.XLOOKUP(A17,'KOS SR'!X:X,'KOS SR'!N:N),""),"")</f>
        <v/>
      </c>
      <c r="X17"/>
    </row>
    <row r="18" spans="1:24" ht="18.75" thickTop="1" thickBot="1" x14ac:dyDescent="0.35">
      <c r="A18" t="s">
        <v>548</v>
      </c>
      <c r="B18" t="s">
        <v>1</v>
      </c>
      <c r="C18" t="s">
        <v>19</v>
      </c>
      <c r="D18" t="s">
        <v>13</v>
      </c>
      <c r="E18" t="s">
        <v>59</v>
      </c>
      <c r="F18" t="str">
        <f t="shared" si="2"/>
        <v xml:space="preserve"> integer</v>
      </c>
      <c r="H18" s="11" t="s">
        <v>992</v>
      </c>
      <c r="I18" t="str">
        <f t="shared" si="0"/>
        <v>EHDSImagingStudy- numberOfSeries</v>
      </c>
      <c r="J18" s="33" t="s">
        <v>992</v>
      </c>
      <c r="K18" t="str">
        <f>IF(LEN(A18)&gt;0,_xlfn.IFNA(_xlfn.XLOOKUP(A18,FHIR!M:M,FHIR!E:E),""),"")</f>
        <v>ImagingStudy.numberOfSeries</v>
      </c>
      <c r="L18" s="11" t="s">
        <v>992</v>
      </c>
      <c r="M18" s="15" t="str">
        <f t="shared" si="1"/>
        <v/>
      </c>
      <c r="N18" s="11" t="s">
        <v>992</v>
      </c>
      <c r="O18" s="11"/>
      <c r="P18" s="11"/>
      <c r="Q18" t="str">
        <f>IF(LEN(A18)&gt;0,_xlfn.IFNA(_xlfn.XLOOKUP(A18,KOS!U:U,KOS!N:N),""),"")</f>
        <v/>
      </c>
      <c r="R18" t="str">
        <f>IF(LEN(A18)&gt;0,_xlfn.IFNA(_xlfn.XLOOKUP(A18,'KOS SR'!X:X,'KOS SR'!N:N),""),"")</f>
        <v/>
      </c>
      <c r="X18"/>
    </row>
    <row r="19" spans="1:24" ht="18.75" thickTop="1" thickBot="1" x14ac:dyDescent="0.35">
      <c r="A19" t="s">
        <v>549</v>
      </c>
      <c r="B19" t="s">
        <v>1</v>
      </c>
      <c r="C19" t="s">
        <v>20</v>
      </c>
      <c r="D19" t="s">
        <v>13</v>
      </c>
      <c r="E19" t="s">
        <v>59</v>
      </c>
      <c r="F19" t="str">
        <f t="shared" si="2"/>
        <v xml:space="preserve"> integer</v>
      </c>
      <c r="H19" s="11" t="s">
        <v>992</v>
      </c>
      <c r="I19" t="str">
        <f t="shared" si="0"/>
        <v>EHDSImagingStudy- numberOfInstances</v>
      </c>
      <c r="J19" s="33" t="s">
        <v>992</v>
      </c>
      <c r="K19" t="str">
        <f>IF(LEN(A19)&gt;0,_xlfn.IFNA(_xlfn.XLOOKUP(A19,FHIR!M:M,FHIR!E:E),""),"")</f>
        <v>ImagingStudy.numberOfInstances</v>
      </c>
      <c r="L19" s="11" t="s">
        <v>992</v>
      </c>
      <c r="M19" s="15" t="str">
        <f t="shared" si="1"/>
        <v/>
      </c>
      <c r="N19" s="11" t="s">
        <v>992</v>
      </c>
      <c r="O19" s="11"/>
      <c r="P19" s="11"/>
      <c r="Q19" t="str">
        <f>IF(LEN(A19)&gt;0,_xlfn.IFNA(_xlfn.XLOOKUP(A19,KOS!U:U,KOS!N:N),""),"")</f>
        <v/>
      </c>
      <c r="R19" t="str">
        <f>IF(LEN(A19)&gt;0,_xlfn.IFNA(_xlfn.XLOOKUP(A19,'KOS SR'!X:X,'KOS SR'!N:N),""),"")</f>
        <v/>
      </c>
      <c r="X19"/>
    </row>
    <row r="20" spans="1:24" ht="18.75" thickTop="1" thickBot="1" x14ac:dyDescent="0.35">
      <c r="A20" t="s">
        <v>550</v>
      </c>
      <c r="B20" t="s">
        <v>1</v>
      </c>
      <c r="C20" t="s">
        <v>21</v>
      </c>
      <c r="D20" t="s">
        <v>13</v>
      </c>
      <c r="E20" t="s">
        <v>60</v>
      </c>
      <c r="F20" t="str">
        <f t="shared" si="2"/>
        <v xml:space="preserve"> string</v>
      </c>
      <c r="H20" s="11" t="s">
        <v>992</v>
      </c>
      <c r="I20" t="str">
        <f t="shared" si="0"/>
        <v>EHDSImagingStudy- description</v>
      </c>
      <c r="J20" s="33" t="s">
        <v>992</v>
      </c>
      <c r="K20" t="str">
        <f>IF(LEN(A20)&gt;0,_xlfn.IFNA(_xlfn.XLOOKUP(A20,FHIR!M:M,FHIR!E:E),""),"")</f>
        <v>ImagingStudy.description</v>
      </c>
      <c r="L20" s="11" t="s">
        <v>992</v>
      </c>
      <c r="M20" s="15" t="str">
        <f t="shared" si="1"/>
        <v/>
      </c>
      <c r="N20" s="11" t="s">
        <v>992</v>
      </c>
      <c r="O20" s="11"/>
      <c r="P20" s="11"/>
      <c r="Q20" t="str">
        <f>IF(LEN(A20)&gt;0,_xlfn.IFNA(_xlfn.XLOOKUP(A20,KOS!U:U,KOS!N:N),""),"")</f>
        <v/>
      </c>
      <c r="R20" t="str">
        <f>IF(LEN(A20)&gt;0,_xlfn.IFNA(_xlfn.XLOOKUP(A20,'KOS SR'!X:X,'KOS SR'!N:N),""),"")</f>
        <v/>
      </c>
      <c r="X20"/>
    </row>
    <row r="21" spans="1:24" ht="18.75" thickTop="1" thickBot="1" x14ac:dyDescent="0.35">
      <c r="A21" t="s">
        <v>551</v>
      </c>
      <c r="B21" t="s">
        <v>1</v>
      </c>
      <c r="C21" t="s">
        <v>22</v>
      </c>
      <c r="D21" t="s">
        <v>13</v>
      </c>
      <c r="E21" t="s">
        <v>52</v>
      </c>
      <c r="F21" t="str">
        <f t="shared" si="2"/>
        <v>EHDSOrganisation</v>
      </c>
      <c r="H21" s="11" t="s">
        <v>992</v>
      </c>
      <c r="I21" t="str">
        <f t="shared" si="0"/>
        <v>EHDSImagingStudy- studyCustodian</v>
      </c>
      <c r="J21" s="33" t="s">
        <v>992</v>
      </c>
      <c r="K21" t="str">
        <f>IF(LEN(A21)&gt;0,_xlfn.IFNA(_xlfn.XLOOKUP(A21,FHIR!M:M,FHIR!E:E),""),"")</f>
        <v>MhDDocumentReference.custodian</v>
      </c>
      <c r="L21" s="11" t="s">
        <v>992</v>
      </c>
      <c r="M21" s="15" t="str">
        <f t="shared" si="1"/>
        <v/>
      </c>
      <c r="N21" s="11" t="s">
        <v>992</v>
      </c>
      <c r="O21" s="11"/>
      <c r="P21" s="11"/>
      <c r="Q21" t="str">
        <f>IF(LEN(A21)&gt;0,_xlfn.IFNA(_xlfn.XLOOKUP(A21,KOS!U:U,KOS!N:N),""),"")</f>
        <v/>
      </c>
      <c r="R21" t="str">
        <f>IF(LEN(A21)&gt;0,_xlfn.IFNA(_xlfn.XLOOKUP(A21,'KOS SR'!X:X,'KOS SR'!N:N),""),"")</f>
        <v/>
      </c>
      <c r="X21"/>
    </row>
    <row r="22" spans="1:24" ht="18.75" thickTop="1" thickBot="1" x14ac:dyDescent="0.35">
      <c r="A22" t="s">
        <v>552</v>
      </c>
      <c r="B22" t="s">
        <v>1</v>
      </c>
      <c r="C22" t="s">
        <v>23</v>
      </c>
      <c r="D22" t="s">
        <v>13</v>
      </c>
      <c r="E22" t="s">
        <v>61</v>
      </c>
      <c r="F22" t="str">
        <f t="shared" si="2"/>
        <v>EHDSEndpoint</v>
      </c>
      <c r="H22" s="11" t="s">
        <v>992</v>
      </c>
      <c r="I22" t="str">
        <f t="shared" si="0"/>
        <v>EHDSImagingStudy- studyEndpoint</v>
      </c>
      <c r="J22" s="33" t="s">
        <v>992</v>
      </c>
      <c r="K22" t="str">
        <f>IF(LEN(A22)&gt;0,_xlfn.IFNA(_xlfn.XLOOKUP(A22,FHIR!M:M,FHIR!E:E),""),"")</f>
        <v>ImagingStudy.endpoint</v>
      </c>
      <c r="L22" s="11" t="s">
        <v>992</v>
      </c>
      <c r="M22" s="15" t="str">
        <f t="shared" si="1"/>
        <v/>
      </c>
      <c r="N22" s="11" t="s">
        <v>992</v>
      </c>
      <c r="O22" s="11"/>
      <c r="P22" s="11"/>
      <c r="Q22" t="str">
        <f>IF(LEN(A22)&gt;0,_xlfn.IFNA(_xlfn.XLOOKUP(A22,KOS!U:U,KOS!N:N),""),"")</f>
        <v/>
      </c>
      <c r="R22" t="str">
        <f>IF(LEN(A22)&gt;0,_xlfn.IFNA(_xlfn.XLOOKUP(A22,'KOS SR'!X:X,'KOS SR'!N:N),""),"")</f>
        <v/>
      </c>
      <c r="X22"/>
    </row>
    <row r="23" spans="1:24" ht="18.75" thickTop="1" thickBot="1" x14ac:dyDescent="0.35">
      <c r="A23" t="s">
        <v>553</v>
      </c>
      <c r="B23" t="s">
        <v>1</v>
      </c>
      <c r="C23" t="s">
        <v>24</v>
      </c>
      <c r="D23" t="s">
        <v>3</v>
      </c>
      <c r="E23" t="s">
        <v>48</v>
      </c>
      <c r="F23" t="str">
        <f t="shared" si="2"/>
        <v xml:space="preserve"> Base</v>
      </c>
      <c r="H23" s="11" t="s">
        <v>992</v>
      </c>
      <c r="I23" t="str">
        <f t="shared" si="0"/>
        <v>EHDSImagingStudy- series</v>
      </c>
      <c r="J23" s="33" t="s">
        <v>992</v>
      </c>
      <c r="K23" t="str">
        <f>IF(LEN(A23)&gt;0,_xlfn.IFNA(_xlfn.XLOOKUP(A23,FHIR!M:M,FHIR!E:E),""),"")</f>
        <v>ImagingStudy.series</v>
      </c>
      <c r="L23" s="11" t="s">
        <v>992</v>
      </c>
      <c r="M23" s="15" t="str">
        <f t="shared" si="1"/>
        <v>SR-TID1600:EV (ddd010, DCM, “Number of Study Related Series” </v>
      </c>
      <c r="N23" s="11" t="s">
        <v>992</v>
      </c>
      <c r="O23" s="11"/>
      <c r="P23" s="11"/>
      <c r="Q23" t="str">
        <f>IF(LEN(A23)&gt;0,_xlfn.IFNA(_xlfn.XLOOKUP(A23,KOS!U:U,KOS!N:N),""),"")</f>
        <v/>
      </c>
      <c r="R23" t="str">
        <f>IF(LEN(A23)&gt;0,_xlfn.IFNA(_xlfn.XLOOKUP(A23,'KOS SR'!X:X,'KOS SR'!N:N),""),"")</f>
        <v>SR-TID1600:EV (ddd010, DCM, “Number of Study Related Series” </v>
      </c>
      <c r="X23"/>
    </row>
    <row r="24" spans="1:24" ht="32.25" thickTop="1" thickBot="1" x14ac:dyDescent="0.35">
      <c r="A24" t="s">
        <v>554</v>
      </c>
      <c r="B24" t="s">
        <v>1</v>
      </c>
      <c r="C24" t="s">
        <v>25</v>
      </c>
      <c r="D24" t="s">
        <v>5</v>
      </c>
      <c r="E24" t="s">
        <v>50</v>
      </c>
      <c r="F24" t="str">
        <f t="shared" si="2"/>
        <v xml:space="preserve"> Identifier</v>
      </c>
      <c r="H24" s="11" t="s">
        <v>992</v>
      </c>
      <c r="I24" t="str">
        <f t="shared" si="0"/>
        <v>EHDSImagingStudy- series.seriesUid</v>
      </c>
      <c r="J24" s="33" t="s">
        <v>992</v>
      </c>
      <c r="K24" t="str">
        <f>IF(LEN(A24)&gt;0,_xlfn.IFNA(_xlfn.XLOOKUP(A24,FHIR!M:M,FHIR!E:E),""),"")</f>
        <v>ImagingStudy.series.uid</v>
      </c>
      <c r="L24" s="11" t="s">
        <v>992</v>
      </c>
      <c r="M24" s="15" t="str">
        <f t="shared" si="1"/>
        <v>Key Object Document-Current Requested Procedure Evidence Sequence-Referenced Series Sequence-Series Instance UID</v>
      </c>
      <c r="N24" s="11" t="s">
        <v>992</v>
      </c>
      <c r="O24" s="11"/>
      <c r="P24" s="11"/>
      <c r="Q24" t="str">
        <f>IF(LEN(A24)&gt;0,_xlfn.IFNA(_xlfn.XLOOKUP(A24,KOS!U:U,KOS!N:N),""),"")</f>
        <v>Key Object Document-Current Requested Procedure Evidence Sequence-Referenced Series Sequence-Series Instance UID</v>
      </c>
      <c r="R24" t="str">
        <f>IF(LEN(A24)&gt;0,_xlfn.IFNA(_xlfn.XLOOKUP(A24,'KOS SR'!X:X,'KOS SR'!N:N),""),"")</f>
        <v>SR-TID1602:EV (ddd006, DCM, “Series Instance UID”)</v>
      </c>
      <c r="X24"/>
    </row>
    <row r="25" spans="1:24" ht="18.75" thickTop="1" thickBot="1" x14ac:dyDescent="0.35">
      <c r="A25" t="s">
        <v>555</v>
      </c>
      <c r="B25" t="s">
        <v>1</v>
      </c>
      <c r="C25" t="s">
        <v>26</v>
      </c>
      <c r="D25" t="s">
        <v>13</v>
      </c>
      <c r="E25" t="s">
        <v>59</v>
      </c>
      <c r="F25" t="str">
        <f t="shared" si="2"/>
        <v xml:space="preserve"> integer</v>
      </c>
      <c r="H25" s="11" t="s">
        <v>992</v>
      </c>
      <c r="I25" t="str">
        <f t="shared" si="0"/>
        <v>EHDSImagingStudy- series.number</v>
      </c>
      <c r="J25" s="33" t="s">
        <v>992</v>
      </c>
      <c r="K25" t="str">
        <f>IF(LEN(A25)&gt;0,_xlfn.IFNA(_xlfn.XLOOKUP(A25,FHIR!M:M,FHIR!E:E),""),"")</f>
        <v>ImagingStudy.series.number</v>
      </c>
      <c r="L25" s="11" t="s">
        <v>992</v>
      </c>
      <c r="M25" s="15" t="str">
        <f t="shared" si="1"/>
        <v>Key Object Document Series-Series Number</v>
      </c>
      <c r="N25" s="11" t="s">
        <v>992</v>
      </c>
      <c r="O25" s="11"/>
      <c r="P25" s="11"/>
      <c r="Q25" t="str">
        <f>IF(LEN(A25)&gt;0,_xlfn.IFNA(_xlfn.XLOOKUP(A25,KOS!U:U,KOS!N:N),""),"")</f>
        <v>Key Object Document Series-Series Number</v>
      </c>
      <c r="R25" t="str">
        <f>IF(LEN(A25)&gt;0,_xlfn.IFNA(_xlfn.XLOOKUP(A25,'KOS SR'!X:X,'KOS SR'!N:N),""),"")</f>
        <v>SR-TID1602:EV (ddd005, DCM, “Series Number”)</v>
      </c>
      <c r="X25"/>
    </row>
    <row r="26" spans="1:24" ht="18.75" thickTop="1" thickBot="1" x14ac:dyDescent="0.35">
      <c r="A26" t="s">
        <v>556</v>
      </c>
      <c r="B26" t="s">
        <v>1</v>
      </c>
      <c r="C26" t="s">
        <v>27</v>
      </c>
      <c r="D26" t="s">
        <v>5</v>
      </c>
      <c r="E26" t="s">
        <v>55</v>
      </c>
      <c r="F26" t="str">
        <f t="shared" si="2"/>
        <v xml:space="preserve"> CodeableConcept</v>
      </c>
      <c r="H26" s="11" t="s">
        <v>992</v>
      </c>
      <c r="I26" t="str">
        <f t="shared" si="0"/>
        <v>EHDSImagingStudy- series.seriesModality</v>
      </c>
      <c r="J26" s="33" t="s">
        <v>992</v>
      </c>
      <c r="K26" t="str">
        <f>IF(LEN(A26)&gt;0,_xlfn.IFNA(_xlfn.XLOOKUP(A26,FHIR!M:M,FHIR!E:E),""),"")</f>
        <v>ImagingStudy.series.modality</v>
      </c>
      <c r="L26" s="11" t="s">
        <v>992</v>
      </c>
      <c r="M26" s="15" t="str">
        <f t="shared" si="1"/>
        <v>Key Object Document Series-Modality</v>
      </c>
      <c r="N26" s="11" t="s">
        <v>992</v>
      </c>
      <c r="O26" s="11"/>
      <c r="P26" s="11"/>
      <c r="Q26" t="str">
        <f>IF(LEN(A26)&gt;0,_xlfn.IFNA(_xlfn.XLOOKUP(A26,KOS!U:U,KOS!N:N),""),"")</f>
        <v>Key Object Document Series-Modality</v>
      </c>
      <c r="R26" t="str">
        <f>IF(LEN(A26)&gt;0,_xlfn.IFNA(_xlfn.XLOOKUP(A26,'KOS SR'!X:X,'KOS SR'!N:N),""),"")</f>
        <v>SR-TID1602:1EV (121139, DCM, "Modality")</v>
      </c>
      <c r="X26"/>
    </row>
    <row r="27" spans="1:24" ht="18.75" thickTop="1" thickBot="1" x14ac:dyDescent="0.35">
      <c r="A27" t="s">
        <v>557</v>
      </c>
      <c r="B27" t="s">
        <v>1</v>
      </c>
      <c r="C27" t="s">
        <v>28</v>
      </c>
      <c r="D27" t="s">
        <v>13</v>
      </c>
      <c r="E27" t="s">
        <v>60</v>
      </c>
      <c r="F27" t="str">
        <f t="shared" si="2"/>
        <v xml:space="preserve"> string</v>
      </c>
      <c r="H27" s="11" t="s">
        <v>992</v>
      </c>
      <c r="I27" t="str">
        <f t="shared" si="0"/>
        <v>EHDSImagingStudy- series.description</v>
      </c>
      <c r="J27" s="33" t="s">
        <v>992</v>
      </c>
      <c r="K27" t="str">
        <f>IF(LEN(A27)&gt;0,_xlfn.IFNA(_xlfn.XLOOKUP(A27,FHIR!M:M,FHIR!E:E),""),"")</f>
        <v>ImagingStudy.series.description</v>
      </c>
      <c r="L27" s="11" t="s">
        <v>992</v>
      </c>
      <c r="M27" s="15" t="str">
        <f t="shared" si="1"/>
        <v>Key Object Document Series-Series Description</v>
      </c>
      <c r="N27" s="11" t="s">
        <v>992</v>
      </c>
      <c r="O27" s="11"/>
      <c r="P27" s="11"/>
      <c r="Q27" t="str">
        <f>IF(LEN(A27)&gt;0,_xlfn.IFNA(_xlfn.XLOOKUP(A27,KOS!U:U,KOS!N:N),""),"")</f>
        <v>Key Object Document Series-Series Description</v>
      </c>
      <c r="R27" t="str">
        <f>IF(LEN(A27)&gt;0,_xlfn.IFNA(_xlfn.XLOOKUP(A27,'KOS SR'!X:X,'KOS SR'!N:N),""),"")</f>
        <v>SR-TID1602:EV (ddd002, DCM, “Series Description”)</v>
      </c>
      <c r="X27"/>
    </row>
    <row r="28" spans="1:24" ht="18.75" thickTop="1" thickBot="1" x14ac:dyDescent="0.35">
      <c r="A28" t="s">
        <v>558</v>
      </c>
      <c r="B28" t="s">
        <v>1</v>
      </c>
      <c r="C28" t="s">
        <v>29</v>
      </c>
      <c r="D28" t="s">
        <v>13</v>
      </c>
      <c r="E28" t="s">
        <v>59</v>
      </c>
      <c r="F28" t="str">
        <f t="shared" si="2"/>
        <v xml:space="preserve"> integer</v>
      </c>
      <c r="H28" s="11" t="s">
        <v>992</v>
      </c>
      <c r="I28" t="str">
        <f t="shared" si="0"/>
        <v>EHDSImagingStudy- series.numberOfInstances</v>
      </c>
      <c r="J28" s="33" t="s">
        <v>992</v>
      </c>
      <c r="K28" t="str">
        <f>IF(LEN(A28)&gt;0,_xlfn.IFNA(_xlfn.XLOOKUP(A28,FHIR!M:M,FHIR!E:E),""),"")</f>
        <v>ImagingStudy.series.numberOfInstances</v>
      </c>
      <c r="L28" s="11" t="s">
        <v>992</v>
      </c>
      <c r="M28" s="15" t="str">
        <f t="shared" si="1"/>
        <v>SR-TID1602:EV (ddd007, DCM, “Number of Series Related Instances”) </v>
      </c>
      <c r="N28" s="11" t="s">
        <v>992</v>
      </c>
      <c r="O28" s="11"/>
      <c r="P28" s="11"/>
      <c r="Q28" t="str">
        <f>IF(LEN(A28)&gt;0,_xlfn.IFNA(_xlfn.XLOOKUP(A28,KOS!U:U,KOS!N:N),""),"")</f>
        <v/>
      </c>
      <c r="R28" t="str">
        <f>IF(LEN(A28)&gt;0,_xlfn.IFNA(_xlfn.XLOOKUP(A28,'KOS SR'!X:X,'KOS SR'!N:N),""),"")</f>
        <v>SR-TID1602:EV (ddd007, DCM, “Number of Series Related Instances”) </v>
      </c>
      <c r="X28"/>
    </row>
    <row r="29" spans="1:24" ht="18.75" thickTop="1" thickBot="1" x14ac:dyDescent="0.35">
      <c r="A29" t="s">
        <v>559</v>
      </c>
      <c r="B29" t="s">
        <v>1</v>
      </c>
      <c r="C29" t="s">
        <v>30</v>
      </c>
      <c r="D29" t="s">
        <v>13</v>
      </c>
      <c r="E29" t="s">
        <v>61</v>
      </c>
      <c r="F29" t="str">
        <f t="shared" si="2"/>
        <v>EHDSEndpoint</v>
      </c>
      <c r="H29" s="11" t="s">
        <v>992</v>
      </c>
      <c r="I29" t="str">
        <f t="shared" si="0"/>
        <v>EHDSImagingStudy- series.seriesEndpoint</v>
      </c>
      <c r="J29" s="33" t="s">
        <v>992</v>
      </c>
      <c r="K29" t="str">
        <f>IF(LEN(A29)&gt;0,_xlfn.IFNA(_xlfn.XLOOKUP(A29,FHIR!M:M,FHIR!E:E),""),"")</f>
        <v>ImagingStudy.series.endpoint</v>
      </c>
      <c r="L29" s="11" t="s">
        <v>992</v>
      </c>
      <c r="M29" s="15" t="str">
        <f t="shared" si="1"/>
        <v/>
      </c>
      <c r="N29" s="11" t="s">
        <v>992</v>
      </c>
      <c r="O29" s="11"/>
      <c r="P29" s="11"/>
      <c r="Q29" t="str">
        <f>IF(LEN(A29)&gt;0,_xlfn.IFNA(_xlfn.XLOOKUP(A29,KOS!U:U,KOS!N:N),""),"")</f>
        <v/>
      </c>
      <c r="R29" t="str">
        <f>IF(LEN(A29)&gt;0,_xlfn.IFNA(_xlfn.XLOOKUP(A29,'KOS SR'!X:X,'KOS SR'!N:N),""),"")</f>
        <v/>
      </c>
      <c r="X29"/>
    </row>
    <row r="30" spans="1:24" ht="18.75" thickTop="1" thickBot="1" x14ac:dyDescent="0.35">
      <c r="A30" t="s">
        <v>560</v>
      </c>
      <c r="B30" t="s">
        <v>1</v>
      </c>
      <c r="C30" t="s">
        <v>31</v>
      </c>
      <c r="D30" t="s">
        <v>13</v>
      </c>
      <c r="E30" t="s">
        <v>56</v>
      </c>
      <c r="F30" t="str">
        <f t="shared" si="2"/>
        <v>EHDSBodyStructure</v>
      </c>
      <c r="H30" s="11" t="s">
        <v>992</v>
      </c>
      <c r="I30" t="str">
        <f t="shared" si="0"/>
        <v>EHDSImagingStudy- series.bodySite</v>
      </c>
      <c r="J30" s="33" t="s">
        <v>992</v>
      </c>
      <c r="K30" t="str">
        <f>IF(LEN(A30)&gt;0,_xlfn.IFNA(_xlfn.XLOOKUP(A30,FHIR!M:M,FHIR!E:E),""),"")</f>
        <v>ImagingStudy.series.bodySite</v>
      </c>
      <c r="L30" s="11" t="s">
        <v>992</v>
      </c>
      <c r="M30" s="15" t="str">
        <f t="shared" si="1"/>
        <v>SR-TID1602:EV (123014, DCM, "Target Region")</v>
      </c>
      <c r="N30" s="11" t="s">
        <v>992</v>
      </c>
      <c r="O30" s="11"/>
      <c r="P30" s="11"/>
      <c r="Q30" t="str">
        <f>IF(LEN(A30)&gt;0,_xlfn.IFNA(_xlfn.XLOOKUP(A30,KOS!U:U,KOS!N:N),""),"")</f>
        <v/>
      </c>
      <c r="R30" t="str">
        <f>IF(LEN(A30)&gt;0,_xlfn.IFNA(_xlfn.XLOOKUP(A30,'KOS SR'!X:X,'KOS SR'!N:N),""),"")</f>
        <v>SR-TID1602:EV (123014, DCM, "Target Region")</v>
      </c>
      <c r="X30"/>
    </row>
    <row r="31" spans="1:24" ht="18.75" thickTop="1" thickBot="1" x14ac:dyDescent="0.35">
      <c r="A31" t="s">
        <v>561</v>
      </c>
      <c r="B31" t="s">
        <v>1</v>
      </c>
      <c r="C31" t="s">
        <v>32</v>
      </c>
      <c r="D31" t="s">
        <v>3</v>
      </c>
      <c r="E31" t="s">
        <v>62</v>
      </c>
      <c r="F31" t="str">
        <f t="shared" si="2"/>
        <v>EHDSSpecimen</v>
      </c>
      <c r="H31" s="11" t="s">
        <v>992</v>
      </c>
      <c r="I31" t="str">
        <f t="shared" si="0"/>
        <v>EHDSImagingStudy- series.specimen</v>
      </c>
      <c r="J31" s="33" t="s">
        <v>992</v>
      </c>
      <c r="K31" t="str">
        <f>IF(LEN(A31)&gt;0,_xlfn.IFNA(_xlfn.XLOOKUP(A31,FHIR!M:M,FHIR!E:E),""),"")</f>
        <v>ImagingStudy.series.specimen</v>
      </c>
      <c r="L31" s="11" t="s">
        <v>992</v>
      </c>
      <c r="M31" s="15" t="str">
        <f t="shared" si="1"/>
        <v/>
      </c>
      <c r="N31" s="11" t="s">
        <v>992</v>
      </c>
      <c r="O31" s="11"/>
      <c r="P31" s="11"/>
      <c r="Q31" t="str">
        <f>IF(LEN(A31)&gt;0,_xlfn.IFNA(_xlfn.XLOOKUP(A31,KOS!U:U,KOS!N:N),""),"")</f>
        <v/>
      </c>
      <c r="R31" t="str">
        <f>IF(LEN(A31)&gt;0,_xlfn.IFNA(_xlfn.XLOOKUP(A31,'KOS SR'!X:X,'KOS SR'!N:N),""),"")</f>
        <v/>
      </c>
      <c r="X31"/>
    </row>
    <row r="32" spans="1:24" ht="18.75" thickTop="1" thickBot="1" x14ac:dyDescent="0.35">
      <c r="A32" t="s">
        <v>562</v>
      </c>
      <c r="B32" t="s">
        <v>1</v>
      </c>
      <c r="C32" t="s">
        <v>33</v>
      </c>
      <c r="D32" t="s">
        <v>13</v>
      </c>
      <c r="E32" t="s">
        <v>54</v>
      </c>
      <c r="F32" t="str">
        <f t="shared" si="2"/>
        <v xml:space="preserve"> dateTime</v>
      </c>
      <c r="H32" s="11" t="s">
        <v>992</v>
      </c>
      <c r="I32" t="str">
        <f t="shared" si="0"/>
        <v>EHDSImagingStudy- series.started</v>
      </c>
      <c r="J32" s="33" t="s">
        <v>992</v>
      </c>
      <c r="K32" t="str">
        <f>IF(LEN(A32)&gt;0,_xlfn.IFNA(_xlfn.XLOOKUP(A32,FHIR!M:M,FHIR!E:E),""),"")</f>
        <v>ImagingStudy.series.started</v>
      </c>
      <c r="L32" s="11" t="s">
        <v>992</v>
      </c>
      <c r="M32" s="15" t="str">
        <f t="shared" si="1"/>
        <v>Key Object Document Series-Series Date</v>
      </c>
      <c r="N32" s="11" t="s">
        <v>992</v>
      </c>
      <c r="O32" s="11"/>
      <c r="P32" s="11"/>
      <c r="Q32" t="str">
        <f>IF(LEN(A32)&gt;0,_xlfn.IFNA(_xlfn.XLOOKUP(A32,KOS!U:U,KOS!N:N),""),"")</f>
        <v>Key Object Document Series-Series Date</v>
      </c>
      <c r="R32" t="str">
        <f>IF(LEN(A32)&gt;0,_xlfn.IFNA(_xlfn.XLOOKUP(A32,'KOS SR'!X:X,'KOS SR'!N:N),""),"")</f>
        <v>SR-TID1602:EV (ddd003, DCM, "Series Date")</v>
      </c>
      <c r="X32"/>
    </row>
    <row r="33" spans="1:27" ht="18.75" thickTop="1" thickBot="1" x14ac:dyDescent="0.35">
      <c r="A33" t="s">
        <v>563</v>
      </c>
      <c r="B33" t="s">
        <v>1</v>
      </c>
      <c r="C33" t="s">
        <v>34</v>
      </c>
      <c r="D33" t="s">
        <v>3</v>
      </c>
      <c r="E33" t="s">
        <v>48</v>
      </c>
      <c r="F33" t="str">
        <f t="shared" si="2"/>
        <v xml:space="preserve"> Base</v>
      </c>
      <c r="H33" s="11" t="s">
        <v>992</v>
      </c>
      <c r="I33" t="str">
        <f t="shared" si="0"/>
        <v>EHDSImagingStudy- series.instancesInTheSeries</v>
      </c>
      <c r="J33" s="33" t="s">
        <v>992</v>
      </c>
      <c r="K33" t="str">
        <f>IF(LEN(A33)&gt;0,_xlfn.IFNA(_xlfn.XLOOKUP(A33,FHIR!M:M,FHIR!E:E),""),"")</f>
        <v>ImagingStudy.series.instance</v>
      </c>
      <c r="L33" s="11" t="s">
        <v>992</v>
      </c>
      <c r="M33" s="15" t="str">
        <f t="shared" si="1"/>
        <v/>
      </c>
      <c r="N33" s="11" t="s">
        <v>992</v>
      </c>
      <c r="O33" s="11"/>
      <c r="P33" s="11"/>
      <c r="Q33" t="str">
        <f>IF(LEN(A33)&gt;0,_xlfn.IFNA(_xlfn.XLOOKUP(A33,KOS!U:U,KOS!N:N),""),"")</f>
        <v/>
      </c>
      <c r="R33" t="str">
        <f>IF(LEN(A33)&gt;0,_xlfn.IFNA(_xlfn.XLOOKUP(A33,'KOS SR'!X:X,'KOS SR'!N:N),""),"")</f>
        <v/>
      </c>
      <c r="X33"/>
    </row>
    <row r="34" spans="1:27" ht="18.75" thickTop="1" thickBot="1" x14ac:dyDescent="0.35">
      <c r="A34" t="s">
        <v>564</v>
      </c>
      <c r="B34" t="s">
        <v>1</v>
      </c>
      <c r="C34" t="s">
        <v>35</v>
      </c>
      <c r="D34" t="s">
        <v>13</v>
      </c>
      <c r="E34" t="s">
        <v>60</v>
      </c>
      <c r="F34" t="str">
        <f t="shared" si="2"/>
        <v xml:space="preserve"> string</v>
      </c>
      <c r="H34" s="11" t="s">
        <v>992</v>
      </c>
      <c r="I34" t="str">
        <f t="shared" si="0"/>
        <v>EHDSImagingStudy- series.instancesInTheSeries.instanceTitle</v>
      </c>
      <c r="J34" s="33" t="s">
        <v>992</v>
      </c>
      <c r="K34" t="str">
        <f>IF(LEN(A34)&gt;0,_xlfn.IFNA(_xlfn.XLOOKUP(A34,FHIR!M:M,FHIR!E:E),""),"")</f>
        <v>ImagingStudy.series.instance.title</v>
      </c>
      <c r="L34" s="11" t="s">
        <v>992</v>
      </c>
      <c r="M34" s="15" t="str">
        <f t="shared" si="1"/>
        <v/>
      </c>
      <c r="N34" s="11" t="s">
        <v>992</v>
      </c>
      <c r="O34" s="11"/>
      <c r="P34" s="11"/>
      <c r="Q34" t="str">
        <f>IF(LEN(A34)&gt;0,_xlfn.IFNA(_xlfn.XLOOKUP(A34,KOS!U:U,KOS!N:N),""),"")</f>
        <v/>
      </c>
      <c r="R34" t="str">
        <f>IF(LEN(A34)&gt;0,_xlfn.IFNA(_xlfn.XLOOKUP(A34,'KOS SR'!X:X,'KOS SR'!N:N),""),"")</f>
        <v/>
      </c>
      <c r="X34"/>
    </row>
    <row r="35" spans="1:27" ht="47.25" thickTop="1" thickBot="1" x14ac:dyDescent="0.35">
      <c r="A35" t="s">
        <v>565</v>
      </c>
      <c r="B35" t="s">
        <v>1</v>
      </c>
      <c r="C35" t="s">
        <v>36</v>
      </c>
      <c r="D35" t="s">
        <v>5</v>
      </c>
      <c r="E35" t="s">
        <v>50</v>
      </c>
      <c r="F35" t="str">
        <f t="shared" si="2"/>
        <v xml:space="preserve"> Identifier</v>
      </c>
      <c r="H35" s="11" t="s">
        <v>992</v>
      </c>
      <c r="I35" t="str">
        <f t="shared" si="0"/>
        <v>EHDSImagingStudy- series.instancesInTheSeries.instanceUid</v>
      </c>
      <c r="J35" s="33" t="s">
        <v>992</v>
      </c>
      <c r="K35" t="str">
        <f>IF(LEN(A35)&gt;0,_xlfn.IFNA(_xlfn.XLOOKUP(A35,FHIR!M:M,FHIR!E:E),""),"")</f>
        <v>ImagingStudy.series.instance.uid</v>
      </c>
      <c r="L35" s="11" t="s">
        <v>992</v>
      </c>
      <c r="M35" s="15" t="str">
        <f t="shared" si="1"/>
        <v/>
      </c>
      <c r="N35" s="11" t="s">
        <v>992</v>
      </c>
      <c r="O35" s="11"/>
      <c r="P35" s="11"/>
      <c r="Q35" t="str">
        <f>IF(LEN(A35)&gt;0,_xlfn.IFNA(_xlfn.XLOOKUP(A35,KOS!U:U,KOS!N:N),""),"")</f>
        <v/>
      </c>
      <c r="R35" t="str">
        <f>IF(LEN(A35)&gt;0,_xlfn.IFNA(_xlfn.XLOOKUP(A35,'KOS SR'!X:X,'KOS SR'!N:N),""),"")</f>
        <v/>
      </c>
      <c r="X35"/>
    </row>
    <row r="36" spans="1:27" ht="47.25" thickTop="1" thickBot="1" x14ac:dyDescent="0.35">
      <c r="A36" t="s">
        <v>566</v>
      </c>
      <c r="B36" t="s">
        <v>1</v>
      </c>
      <c r="C36" t="s">
        <v>37</v>
      </c>
      <c r="D36" t="s">
        <v>5</v>
      </c>
      <c r="E36" t="s">
        <v>63</v>
      </c>
      <c r="F36" t="str">
        <f t="shared" si="2"/>
        <v xml:space="preserve"> uri</v>
      </c>
      <c r="H36" s="11" t="s">
        <v>992</v>
      </c>
      <c r="I36" t="str">
        <f t="shared" si="0"/>
        <v>EHDSImagingStudy- series.instancesInTheSeries.sopClass</v>
      </c>
      <c r="J36" s="33" t="s">
        <v>992</v>
      </c>
      <c r="K36" t="str">
        <f>IF(LEN(A36)&gt;0,_xlfn.IFNA(_xlfn.XLOOKUP(A36,FHIR!M:M,FHIR!E:E),""),"")</f>
        <v>ImagingStudy.series.instance.sopClass</v>
      </c>
      <c r="L36" s="11" t="s">
        <v>992</v>
      </c>
      <c r="M36" s="15" t="str">
        <f t="shared" si="1"/>
        <v/>
      </c>
      <c r="N36" s="11" t="s">
        <v>992</v>
      </c>
      <c r="O36" s="11"/>
      <c r="P36" s="11"/>
      <c r="Q36" t="str">
        <f>IF(LEN(A36)&gt;0,_xlfn.IFNA(_xlfn.XLOOKUP(A36,KOS!U:U,KOS!N:N),""),"")</f>
        <v/>
      </c>
      <c r="R36" t="str">
        <f>IF(LEN(A36)&gt;0,_xlfn.IFNA(_xlfn.XLOOKUP(A36,'KOS SR'!X:X,'KOS SR'!N:N),""),"")</f>
        <v/>
      </c>
      <c r="X36"/>
    </row>
    <row r="37" spans="1:27" ht="18.75" thickTop="1" thickBot="1" x14ac:dyDescent="0.35">
      <c r="A37" t="s">
        <v>567</v>
      </c>
      <c r="B37" t="s">
        <v>1</v>
      </c>
      <c r="C37" t="s">
        <v>38</v>
      </c>
      <c r="D37" t="s">
        <v>13</v>
      </c>
      <c r="E37" t="s">
        <v>59</v>
      </c>
      <c r="F37" t="str">
        <f t="shared" si="2"/>
        <v xml:space="preserve"> integer</v>
      </c>
      <c r="H37" s="11" t="s">
        <v>992</v>
      </c>
      <c r="I37" t="str">
        <f t="shared" si="0"/>
        <v>EHDSImagingStudy- series.instancesInTheSeries.instanceNumber</v>
      </c>
      <c r="J37" s="33" t="s">
        <v>992</v>
      </c>
      <c r="K37" t="str">
        <f>IF(LEN(A37)&gt;0,_xlfn.IFNA(_xlfn.XLOOKUP(A37,FHIR!M:M,FHIR!E:E),""),"")</f>
        <v>ImagingStudy.series.instance.number</v>
      </c>
      <c r="L37" s="11" t="s">
        <v>992</v>
      </c>
      <c r="M37" s="15" t="str">
        <f t="shared" si="1"/>
        <v>SR-TID1601:EV (ddd008, DCM, “Instance Number”)</v>
      </c>
      <c r="N37" s="11" t="s">
        <v>992</v>
      </c>
      <c r="O37" s="11"/>
      <c r="P37" s="11"/>
      <c r="Q37" t="str">
        <f>IF(LEN(A37)&gt;0,_xlfn.IFNA(_xlfn.XLOOKUP(A37,KOS!U:U,KOS!N:N),""),"")</f>
        <v/>
      </c>
      <c r="R37" t="str">
        <f>IF(LEN(A37)&gt;0,_xlfn.IFNA(_xlfn.XLOOKUP(A37,'KOS SR'!X:X,'KOS SR'!N:N),""),"")</f>
        <v>SR-TID1601:EV (ddd008, DCM, “Instance Number”)</v>
      </c>
      <c r="X37"/>
    </row>
    <row r="38" spans="1:27" ht="18.75" thickTop="1" thickBot="1" x14ac:dyDescent="0.35">
      <c r="A38" t="s">
        <v>568</v>
      </c>
      <c r="B38" t="s">
        <v>1</v>
      </c>
      <c r="C38" t="s">
        <v>39</v>
      </c>
      <c r="D38" t="s">
        <v>13</v>
      </c>
      <c r="E38" t="s">
        <v>59</v>
      </c>
      <c r="F38" t="str">
        <f t="shared" si="2"/>
        <v xml:space="preserve"> integer</v>
      </c>
      <c r="H38" s="11" t="s">
        <v>992</v>
      </c>
      <c r="I38" t="str">
        <f t="shared" si="0"/>
        <v>EHDSImagingStudy- series.instancesInTheSeries.numberOfFrames</v>
      </c>
      <c r="J38" s="33" t="s">
        <v>992</v>
      </c>
      <c r="K38" t="str">
        <f>IF(LEN(A38)&gt;0,_xlfn.IFNA(_xlfn.XLOOKUP(A38,FHIR!M:M,FHIR!E:E),""),"")</f>
        <v>ImagingStudy.series.instance.extension[numberOfFrames]</v>
      </c>
      <c r="L38" s="11" t="s">
        <v>992</v>
      </c>
      <c r="M38" s="15" t="str">
        <f t="shared" si="1"/>
        <v>SR-TID1601:EV (121140, DCM, “Number of Frames”)</v>
      </c>
      <c r="N38" s="11" t="s">
        <v>992</v>
      </c>
      <c r="O38" s="11"/>
      <c r="P38" s="11"/>
      <c r="Q38" t="str">
        <f>IF(LEN(A38)&gt;0,_xlfn.IFNA(_xlfn.XLOOKUP(A38,KOS!U:U,KOS!N:N),""),"")</f>
        <v/>
      </c>
      <c r="R38" t="str">
        <f>IF(LEN(A38)&gt;0,_xlfn.IFNA(_xlfn.XLOOKUP(A38,'KOS SR'!X:X,'KOS SR'!N:N),""),"")</f>
        <v>SR-TID1601:EV (121140, DCM, “Number of Frames”)</v>
      </c>
      <c r="X38"/>
    </row>
    <row r="39" spans="1:27" ht="18.75" thickTop="1" thickBot="1" x14ac:dyDescent="0.35">
      <c r="A39" t="s">
        <v>569</v>
      </c>
      <c r="B39" t="s">
        <v>1</v>
      </c>
      <c r="C39" t="s">
        <v>40</v>
      </c>
      <c r="D39" t="s">
        <v>3</v>
      </c>
      <c r="E39" t="s">
        <v>48</v>
      </c>
      <c r="F39" t="str">
        <f t="shared" si="2"/>
        <v xml:space="preserve"> Base</v>
      </c>
      <c r="G39" t="s">
        <v>92</v>
      </c>
      <c r="H39" s="11" t="s">
        <v>992</v>
      </c>
      <c r="I39" t="str">
        <f t="shared" si="0"/>
        <v>EHDSImagingStudy- series.instancesInTheSeries.keyImage</v>
      </c>
      <c r="J39" s="33" t="s">
        <v>992</v>
      </c>
      <c r="K39" t="str">
        <f>IF(LEN(A39)&gt;0,_xlfn.IFNA(_xlfn.XLOOKUP(A39,FHIR!M:M,FHIR!E:E),""),"")</f>
        <v/>
      </c>
      <c r="L39" s="11" t="s">
        <v>992</v>
      </c>
      <c r="M39" s="15" t="str">
        <f t="shared" si="1"/>
        <v/>
      </c>
      <c r="N39" s="11" t="s">
        <v>992</v>
      </c>
      <c r="O39" s="11"/>
      <c r="P39" s="11"/>
      <c r="Q39" t="str">
        <f>IF(LEN(A39)&gt;0,_xlfn.IFNA(_xlfn.XLOOKUP(A39,KOS!U:U,KOS!N:N),""),"")</f>
        <v/>
      </c>
      <c r="R39" t="str">
        <f>IF(LEN(A39)&gt;0,_xlfn.IFNA(_xlfn.XLOOKUP(A39,'KOS SR'!X:X,'KOS SR'!N:N),""),"")</f>
        <v/>
      </c>
      <c r="X39"/>
    </row>
    <row r="40" spans="1:27" ht="18.75" thickTop="1" thickBot="1" x14ac:dyDescent="0.35">
      <c r="A40" t="s">
        <v>570</v>
      </c>
      <c r="B40" t="s">
        <v>1</v>
      </c>
      <c r="C40" t="s">
        <v>41</v>
      </c>
      <c r="D40" t="s">
        <v>5</v>
      </c>
      <c r="E40" t="s">
        <v>55</v>
      </c>
      <c r="F40" t="str">
        <f t="shared" si="2"/>
        <v xml:space="preserve"> CodeableConcept</v>
      </c>
      <c r="G40" t="s">
        <v>92</v>
      </c>
      <c r="H40" s="11" t="s">
        <v>992</v>
      </c>
      <c r="I40" t="str">
        <f t="shared" si="0"/>
        <v>EHDSImagingStudy- series.instancesInTheSeries.keyImage.flag</v>
      </c>
      <c r="J40" s="33" t="s">
        <v>992</v>
      </c>
      <c r="K40" t="str">
        <f>IF(LEN(A40)&gt;0,_xlfn.IFNA(_xlfn.XLOOKUP(A40,FHIR!M:M,FHIR!E:E),""),"")</f>
        <v>Basic-KeyObj.extension[code].coding</v>
      </c>
      <c r="L40" s="11" t="s">
        <v>992</v>
      </c>
      <c r="M40" s="15" t="str">
        <f t="shared" si="1"/>
        <v/>
      </c>
      <c r="N40" s="11" t="s">
        <v>992</v>
      </c>
      <c r="O40" s="11"/>
      <c r="P40" s="11"/>
      <c r="Q40" t="str">
        <f>IF(LEN(A40)&gt;0,_xlfn.IFNA(_xlfn.XLOOKUP(A40,KOS!U:U,KOS!N:N),""),"")</f>
        <v/>
      </c>
      <c r="R40" t="str">
        <f>IF(LEN(A40)&gt;0,_xlfn.IFNA(_xlfn.XLOOKUP(A40,'KOS SR'!X:X,'KOS SR'!N:N),""),"")</f>
        <v/>
      </c>
      <c r="X40"/>
    </row>
    <row r="41" spans="1:27" ht="18.75" thickTop="1" thickBot="1" x14ac:dyDescent="0.35">
      <c r="A41" t="s">
        <v>571</v>
      </c>
      <c r="B41" t="s">
        <v>1</v>
      </c>
      <c r="C41" t="s">
        <v>42</v>
      </c>
      <c r="D41" t="s">
        <v>13</v>
      </c>
      <c r="E41" t="s">
        <v>60</v>
      </c>
      <c r="F41" t="str">
        <f t="shared" si="2"/>
        <v xml:space="preserve"> string</v>
      </c>
      <c r="G41" t="s">
        <v>92</v>
      </c>
      <c r="H41" s="11" t="s">
        <v>992</v>
      </c>
      <c r="I41" t="str">
        <f t="shared" si="0"/>
        <v>EHDSImagingStudy- series.instancesInTheSeries.keyImage.reason</v>
      </c>
      <c r="J41" s="33" t="s">
        <v>992</v>
      </c>
      <c r="K41" t="str">
        <f>IF(LEN(A41)&gt;0,_xlfn.IFNA(_xlfn.XLOOKUP(A41,FHIR!M:M,FHIR!E:E),""),"")</f>
        <v>Basic-KeyObj.extension[code].text</v>
      </c>
      <c r="L41" s="11" t="s">
        <v>992</v>
      </c>
      <c r="M41" s="15" t="str">
        <f t="shared" si="1"/>
        <v/>
      </c>
      <c r="N41" s="11" t="s">
        <v>992</v>
      </c>
      <c r="O41" s="11"/>
      <c r="P41" s="11"/>
      <c r="Q41" t="str">
        <f>IF(LEN(A41)&gt;0,_xlfn.IFNA(_xlfn.XLOOKUP(A41,KOS!U:U,KOS!N:N),""),"")</f>
        <v/>
      </c>
      <c r="R41" t="str">
        <f>IF(LEN(A41)&gt;0,_xlfn.IFNA(_xlfn.XLOOKUP(A41,'KOS SR'!X:X,'KOS SR'!N:N),""),"")</f>
        <v/>
      </c>
      <c r="X41"/>
    </row>
    <row r="42" spans="1:27" ht="18.75" thickTop="1" thickBot="1" x14ac:dyDescent="0.35">
      <c r="A42" t="s">
        <v>572</v>
      </c>
      <c r="B42" t="s">
        <v>1</v>
      </c>
      <c r="C42" t="s">
        <v>43</v>
      </c>
      <c r="D42" t="s">
        <v>8</v>
      </c>
      <c r="E42" t="s">
        <v>50</v>
      </c>
      <c r="F42" t="str">
        <f t="shared" si="2"/>
        <v xml:space="preserve"> Identifier</v>
      </c>
      <c r="G42" t="s">
        <v>92</v>
      </c>
      <c r="H42" s="11" t="s">
        <v>992</v>
      </c>
      <c r="I42" t="str">
        <f t="shared" si="0"/>
        <v>EHDSImagingStudy- series.instancesInTheSeries.keyImage.seriesUID</v>
      </c>
      <c r="J42" s="33" t="s">
        <v>992</v>
      </c>
      <c r="K42" t="str">
        <f>IF(LEN(A42)&gt;0,_xlfn.IFNA(_xlfn.XLOOKUP(A42,FHIR!M:M,FHIR!E:E),""),"")</f>
        <v>Basic-KeyObj.extension[seriesUid]</v>
      </c>
      <c r="L42" s="11" t="s">
        <v>992</v>
      </c>
      <c r="M42" s="15" t="str">
        <f t="shared" si="1"/>
        <v/>
      </c>
      <c r="N42" s="11" t="s">
        <v>992</v>
      </c>
      <c r="O42" s="11"/>
      <c r="P42" s="11"/>
      <c r="Q42" t="str">
        <f>IF(LEN(A42)&gt;0,_xlfn.IFNA(_xlfn.XLOOKUP(A42,KOS!U:U,KOS!N:N),""),"")</f>
        <v/>
      </c>
      <c r="R42" t="str">
        <f>IF(LEN(A42)&gt;0,_xlfn.IFNA(_xlfn.XLOOKUP(A42,'KOS SR'!X:X,'KOS SR'!N:N),""),"")</f>
        <v/>
      </c>
      <c r="X42"/>
    </row>
    <row r="43" spans="1:27" ht="18.75" thickTop="1" thickBot="1" x14ac:dyDescent="0.35">
      <c r="A43" t="s">
        <v>573</v>
      </c>
      <c r="B43" t="s">
        <v>1</v>
      </c>
      <c r="C43" t="s">
        <v>44</v>
      </c>
      <c r="D43" t="s">
        <v>8</v>
      </c>
      <c r="E43" t="s">
        <v>50</v>
      </c>
      <c r="F43" t="str">
        <f t="shared" si="2"/>
        <v xml:space="preserve"> Identifier</v>
      </c>
      <c r="G43" t="s">
        <v>92</v>
      </c>
      <c r="H43" s="11" t="s">
        <v>992</v>
      </c>
      <c r="I43" t="str">
        <f t="shared" si="0"/>
        <v>EHDSImagingStudy- series.instancesInTheSeries.keyImage.instanceUID</v>
      </c>
      <c r="J43" s="33" t="s">
        <v>992</v>
      </c>
      <c r="K43" t="str">
        <f>IF(LEN(A43)&gt;0,_xlfn.IFNA(_xlfn.XLOOKUP(A43,FHIR!M:M,FHIR!E:E),""),"")</f>
        <v>Basic-KeyObj.extension[studyUid]</v>
      </c>
      <c r="L43" s="11" t="s">
        <v>992</v>
      </c>
      <c r="M43" s="15" t="str">
        <f t="shared" si="1"/>
        <v/>
      </c>
      <c r="N43" s="11" t="s">
        <v>992</v>
      </c>
      <c r="O43" s="11"/>
      <c r="P43" s="11"/>
      <c r="Q43" t="str">
        <f>IF(LEN(A43)&gt;0,_xlfn.IFNA(_xlfn.XLOOKUP(A43,KOS!U:U,KOS!N:N),""),"")</f>
        <v/>
      </c>
      <c r="R43" t="str">
        <f>IF(LEN(A43)&gt;0,_xlfn.IFNA(_xlfn.XLOOKUP(A43,'KOS SR'!X:X,'KOS SR'!N:N),""),"")</f>
        <v/>
      </c>
      <c r="X43"/>
    </row>
    <row r="44" spans="1:27" ht="18.75" thickTop="1" thickBot="1" x14ac:dyDescent="0.35">
      <c r="H44" s="11"/>
      <c r="J44" s="33"/>
      <c r="L44" s="11"/>
      <c r="N44" s="11"/>
      <c r="O44" s="11"/>
      <c r="P44" s="11"/>
      <c r="X44"/>
    </row>
    <row r="45" spans="1:27" ht="18.75" thickTop="1" thickBot="1" x14ac:dyDescent="0.35">
      <c r="H45" s="11" t="s">
        <v>992</v>
      </c>
      <c r="I45" s="27" t="s">
        <v>578</v>
      </c>
      <c r="J45" s="33" t="s">
        <v>992</v>
      </c>
      <c r="K45" s="27" t="s">
        <v>528</v>
      </c>
      <c r="L45" s="11" t="s">
        <v>992</v>
      </c>
      <c r="M45" s="29" t="s">
        <v>279</v>
      </c>
      <c r="N45" s="11" t="s">
        <v>992</v>
      </c>
      <c r="O45" s="11"/>
      <c r="P45" s="11"/>
      <c r="X45"/>
    </row>
    <row r="46" spans="1:27" ht="15.75" thickTop="1" x14ac:dyDescent="0.25">
      <c r="H46" s="11" t="s">
        <v>992</v>
      </c>
      <c r="I46" s="11" t="s">
        <v>993</v>
      </c>
      <c r="J46" s="11" t="s">
        <v>992</v>
      </c>
      <c r="K46" s="11" t="s">
        <v>993</v>
      </c>
      <c r="L46" s="11" t="s">
        <v>992</v>
      </c>
      <c r="M46" s="11" t="s">
        <v>993</v>
      </c>
      <c r="N46" s="11" t="s">
        <v>992</v>
      </c>
      <c r="O46" s="11"/>
      <c r="P46" s="11"/>
      <c r="X46"/>
    </row>
    <row r="47" spans="1:27" ht="18" thickBot="1" x14ac:dyDescent="0.35">
      <c r="A47" t="s">
        <v>610</v>
      </c>
      <c r="B47" t="s">
        <v>93</v>
      </c>
      <c r="C47" t="s">
        <v>2</v>
      </c>
      <c r="D47" t="s">
        <v>3</v>
      </c>
      <c r="E47" t="s">
        <v>94</v>
      </c>
      <c r="F47" t="s">
        <v>2</v>
      </c>
      <c r="G47" t="s">
        <v>95</v>
      </c>
      <c r="H47" s="11" t="s">
        <v>992</v>
      </c>
      <c r="I47" t="str">
        <f t="shared" si="0"/>
        <v xml:space="preserve">EHDSPatient </v>
      </c>
      <c r="J47" s="33" t="s">
        <v>992</v>
      </c>
      <c r="K47" t="str">
        <f>IF(LEN(A47)&gt;0,_xlfn.IFNA(_xlfn.XLOOKUP(A47,FHIR!M:M,FHIR!E:E),""),"")</f>
        <v/>
      </c>
      <c r="L47" s="11" t="s">
        <v>992</v>
      </c>
      <c r="M47" s="15" t="str">
        <f t="shared" si="1"/>
        <v/>
      </c>
      <c r="N47" s="11" t="s">
        <v>992</v>
      </c>
      <c r="O47" s="11"/>
      <c r="P47" s="11"/>
      <c r="Q47" t="str">
        <f>IF(LEN(A47)&gt;0,_xlfn.IFNA(_xlfn.XLOOKUP(A47,KOS!U:U,KOS!N:N),""),"")</f>
        <v/>
      </c>
      <c r="R47" t="str">
        <f>IF(LEN(A47)&gt;0,_xlfn.IFNA(_xlfn.XLOOKUP(A47,'KOS SR'!X:X,'KOS SR'!N:N),""),"")</f>
        <v/>
      </c>
      <c r="X47"/>
    </row>
    <row r="48" spans="1:27" ht="18.75" thickTop="1" thickBot="1" x14ac:dyDescent="0.35">
      <c r="A48" t="s">
        <v>611</v>
      </c>
      <c r="B48" t="s">
        <v>93</v>
      </c>
      <c r="C48" t="s">
        <v>96</v>
      </c>
      <c r="D48" t="s">
        <v>8</v>
      </c>
      <c r="E48" t="s">
        <v>97</v>
      </c>
      <c r="F48" t="s">
        <v>50</v>
      </c>
      <c r="G48" t="s">
        <v>95</v>
      </c>
      <c r="H48" s="11" t="s">
        <v>992</v>
      </c>
      <c r="I48" t="str">
        <f t="shared" si="0"/>
        <v>EHDSPatient- identifier</v>
      </c>
      <c r="J48" s="33" t="s">
        <v>992</v>
      </c>
      <c r="K48" t="str">
        <f>IF(LEN(A48)&gt;0,_xlfn.IFNA(_xlfn.XLOOKUP(A48,FHIR!M:M,FHIR!E:E),""),"")</f>
        <v>Patient.identifier</v>
      </c>
      <c r="L48" s="11" t="s">
        <v>992</v>
      </c>
      <c r="M48" s="15" t="str">
        <f t="shared" si="1"/>
        <v>PatientModule-Patient ID​</v>
      </c>
      <c r="N48" s="11" t="s">
        <v>992</v>
      </c>
      <c r="O48" s="11"/>
      <c r="P48" s="11"/>
      <c r="Q48" t="str">
        <f>IF(LEN(A48)&gt;0,_xlfn.IFNA(_xlfn.XLOOKUP(A48,KOS!U:U,KOS!N:N),""),"")</f>
        <v>PatientModule-Patient ID​</v>
      </c>
      <c r="R48" t="str">
        <f>IF(LEN(A48)&gt;0,_xlfn.IFNA(_xlfn.XLOOKUP(A48,'KOS SR'!X:X,'KOS SR'!N:N),""),"")</f>
        <v/>
      </c>
      <c r="X48" t="s">
        <v>529</v>
      </c>
      <c r="Y48" t="s">
        <v>530</v>
      </c>
      <c r="Z48" t="s">
        <v>531</v>
      </c>
      <c r="AA48" t="s">
        <v>532</v>
      </c>
    </row>
    <row r="49" spans="1:24" ht="18.75" thickTop="1" thickBot="1" x14ac:dyDescent="0.35">
      <c r="A49" t="s">
        <v>612</v>
      </c>
      <c r="B49" t="s">
        <v>93</v>
      </c>
      <c r="C49" t="s">
        <v>98</v>
      </c>
      <c r="D49" t="s">
        <v>3</v>
      </c>
      <c r="E49" t="s">
        <v>99</v>
      </c>
      <c r="F49" t="s">
        <v>100</v>
      </c>
      <c r="G49" t="s">
        <v>95</v>
      </c>
      <c r="H49" s="11" t="s">
        <v>992</v>
      </c>
      <c r="I49" t="str">
        <f t="shared" si="0"/>
        <v>EHDSPatient- name</v>
      </c>
      <c r="J49" s="33" t="s">
        <v>992</v>
      </c>
      <c r="K49" t="str">
        <f>IF(LEN(A49)&gt;0,_xlfn.IFNA(_xlfn.XLOOKUP(A49,FHIR!M:M,FHIR!E:E),""),"")</f>
        <v>Patient.name</v>
      </c>
      <c r="L49" s="11" t="s">
        <v>992</v>
      </c>
      <c r="M49" s="15" t="str">
        <f t="shared" si="1"/>
        <v>PatientModule-PatientName</v>
      </c>
      <c r="N49" s="11" t="s">
        <v>992</v>
      </c>
      <c r="O49" s="11"/>
      <c r="P49" s="11"/>
      <c r="Q49" t="str">
        <f>IF(LEN(A49)&gt;0,_xlfn.IFNA(_xlfn.XLOOKUP(A49,KOS!U:U,KOS!N:N),""),"")</f>
        <v>PatientModule-PatientName</v>
      </c>
      <c r="R49" t="str">
        <f>IF(LEN(A49)&gt;0,_xlfn.IFNA(_xlfn.XLOOKUP(A49,'KOS SR'!X:X,'KOS SR'!N:N),""),"")</f>
        <v/>
      </c>
      <c r="X49"/>
    </row>
    <row r="50" spans="1:24" ht="18.75" thickTop="1" thickBot="1" x14ac:dyDescent="0.35">
      <c r="A50" t="s">
        <v>613</v>
      </c>
      <c r="B50" t="s">
        <v>93</v>
      </c>
      <c r="C50" t="s">
        <v>101</v>
      </c>
      <c r="D50" t="s">
        <v>13</v>
      </c>
      <c r="E50" t="s">
        <v>102</v>
      </c>
      <c r="F50" t="s">
        <v>54</v>
      </c>
      <c r="G50" t="s">
        <v>95</v>
      </c>
      <c r="H50" s="11" t="s">
        <v>992</v>
      </c>
      <c r="I50" t="str">
        <f t="shared" si="0"/>
        <v>EHDSPatient- dateOfBirth</v>
      </c>
      <c r="J50" s="33" t="s">
        <v>992</v>
      </c>
      <c r="K50" t="str">
        <f>IF(LEN(A50)&gt;0,_xlfn.IFNA(_xlfn.XLOOKUP(A50,FHIR!M:M,FHIR!E:E),""),"")</f>
        <v>Patient.birthDate</v>
      </c>
      <c r="L50" s="11" t="s">
        <v>992</v>
      </c>
      <c r="M50" s="15" t="str">
        <f t="shared" si="1"/>
        <v>PatientModule-Patient's Birth Date​</v>
      </c>
      <c r="N50" s="11" t="s">
        <v>992</v>
      </c>
      <c r="O50" s="11"/>
      <c r="P50" s="11"/>
      <c r="Q50" t="str">
        <f>IF(LEN(A50)&gt;0,_xlfn.IFNA(_xlfn.XLOOKUP(A50,KOS!U:U,KOS!N:N),""),"")</f>
        <v>PatientModule-Patient's Birth Date​</v>
      </c>
      <c r="R50" t="str">
        <f>IF(LEN(A50)&gt;0,_xlfn.IFNA(_xlfn.XLOOKUP(A50,'KOS SR'!X:X,'KOS SR'!N:N),""),"")</f>
        <v/>
      </c>
      <c r="X50"/>
    </row>
    <row r="51" spans="1:24" ht="18.75" thickTop="1" thickBot="1" x14ac:dyDescent="0.35">
      <c r="A51" t="s">
        <v>614</v>
      </c>
      <c r="B51" t="s">
        <v>93</v>
      </c>
      <c r="C51" t="s">
        <v>619</v>
      </c>
      <c r="D51" t="s">
        <v>13</v>
      </c>
      <c r="E51" t="s">
        <v>103</v>
      </c>
      <c r="F51" t="s">
        <v>104</v>
      </c>
      <c r="G51" t="s">
        <v>95</v>
      </c>
      <c r="H51" s="11" t="s">
        <v>992</v>
      </c>
      <c r="I51" t="str">
        <f t="shared" si="0"/>
        <v>EHDSPatient- deceased[boolean]</v>
      </c>
      <c r="J51" s="33" t="s">
        <v>992</v>
      </c>
      <c r="K51" t="str">
        <f>IF(LEN(A51)&gt;0,_xlfn.IFNA(_xlfn.XLOOKUP(A51,FHIR!M:M,FHIR!E:E),""),"")</f>
        <v>Patient.deceased[boolean]</v>
      </c>
      <c r="L51" s="11" t="s">
        <v>992</v>
      </c>
      <c r="M51" s="15" t="str">
        <f t="shared" si="1"/>
        <v/>
      </c>
      <c r="N51" s="11" t="s">
        <v>992</v>
      </c>
      <c r="O51" s="11"/>
      <c r="P51" s="11"/>
      <c r="Q51" t="str">
        <f>IF(LEN(A51)&gt;0,_xlfn.IFNA(_xlfn.XLOOKUP(A51,KOS!U:U,KOS!N:N),""),"")</f>
        <v/>
      </c>
      <c r="R51" t="str">
        <f>IF(LEN(A51)&gt;0,_xlfn.IFNA(_xlfn.XLOOKUP(A51,'KOS SR'!X:X,'KOS SR'!N:N),""),"")</f>
        <v/>
      </c>
      <c r="X51"/>
    </row>
    <row r="52" spans="1:24" ht="18.75" thickTop="1" thickBot="1" x14ac:dyDescent="0.35">
      <c r="A52" t="s">
        <v>615</v>
      </c>
      <c r="B52" t="s">
        <v>93</v>
      </c>
      <c r="C52" t="s">
        <v>620</v>
      </c>
      <c r="D52" t="s">
        <v>13</v>
      </c>
      <c r="E52" t="s">
        <v>103</v>
      </c>
      <c r="F52" t="s">
        <v>54</v>
      </c>
      <c r="G52" t="s">
        <v>95</v>
      </c>
      <c r="H52" s="11" t="s">
        <v>992</v>
      </c>
      <c r="I52" t="str">
        <f t="shared" si="0"/>
        <v>EHDSPatient- deceased[DateTime]</v>
      </c>
      <c r="J52" s="33" t="s">
        <v>992</v>
      </c>
      <c r="K52" t="str">
        <f>IF(LEN(A52)&gt;0,_xlfn.IFNA(_xlfn.XLOOKUP(A52,FHIR!M:M,FHIR!E:E),""),"")</f>
        <v>Patient.deceased[DateTime]</v>
      </c>
      <c r="L52" s="11" t="s">
        <v>992</v>
      </c>
      <c r="M52" s="15" t="str">
        <f t="shared" si="1"/>
        <v/>
      </c>
      <c r="N52" s="11" t="s">
        <v>992</v>
      </c>
      <c r="O52" s="11"/>
      <c r="P52" s="11"/>
      <c r="Q52" t="str">
        <f>IF(LEN(A52)&gt;0,_xlfn.IFNA(_xlfn.XLOOKUP(A52,KOS!U:U,KOS!N:N),""),"")</f>
        <v/>
      </c>
      <c r="R52" t="str">
        <f>IF(LEN(A52)&gt;0,_xlfn.IFNA(_xlfn.XLOOKUP(A52,'KOS SR'!X:X,'KOS SR'!N:N),""),"")</f>
        <v/>
      </c>
      <c r="X52"/>
    </row>
    <row r="53" spans="1:24" ht="18.75" thickTop="1" thickBot="1" x14ac:dyDescent="0.35">
      <c r="A53" t="s">
        <v>616</v>
      </c>
      <c r="B53" t="s">
        <v>93</v>
      </c>
      <c r="C53" t="s">
        <v>105</v>
      </c>
      <c r="D53" t="s">
        <v>13</v>
      </c>
      <c r="E53" t="s">
        <v>106</v>
      </c>
      <c r="F53" t="s">
        <v>55</v>
      </c>
      <c r="G53" t="s">
        <v>107</v>
      </c>
      <c r="H53" s="11" t="s">
        <v>992</v>
      </c>
      <c r="I53" t="str">
        <f t="shared" si="0"/>
        <v>EHDSPatient- administrativeGender</v>
      </c>
      <c r="J53" s="33" t="s">
        <v>992</v>
      </c>
      <c r="K53" t="str">
        <f>IF(LEN(A53)&gt;0,_xlfn.IFNA(_xlfn.XLOOKUP(A53,FHIR!M:M,FHIR!E:E),""),"")</f>
        <v>Patient.gender</v>
      </c>
      <c r="L53" s="11" t="s">
        <v>992</v>
      </c>
      <c r="M53" s="15" t="str">
        <f t="shared" si="1"/>
        <v>PatientModule-Patient's Sex​</v>
      </c>
      <c r="N53" s="11" t="s">
        <v>992</v>
      </c>
      <c r="O53" s="11"/>
      <c r="P53" s="11"/>
      <c r="Q53" t="str">
        <f>IF(LEN(A53)&gt;0,_xlfn.IFNA(_xlfn.XLOOKUP(A53,KOS!U:U,KOS!N:N),""),"")</f>
        <v>PatientModule-Patient's Sex​</v>
      </c>
      <c r="R53" t="str">
        <f>IF(LEN(A53)&gt;0,_xlfn.IFNA(_xlfn.XLOOKUP(A53,'KOS SR'!X:X,'KOS SR'!N:N),""),"")</f>
        <v/>
      </c>
      <c r="X53"/>
    </row>
    <row r="54" spans="1:24" ht="18.75" thickTop="1" thickBot="1" x14ac:dyDescent="0.35">
      <c r="A54" t="s">
        <v>617</v>
      </c>
      <c r="B54" t="s">
        <v>93</v>
      </c>
      <c r="C54" t="s">
        <v>108</v>
      </c>
      <c r="D54" t="s">
        <v>3</v>
      </c>
      <c r="E54" t="s">
        <v>109</v>
      </c>
      <c r="F54" t="s">
        <v>110</v>
      </c>
      <c r="G54" t="s">
        <v>95</v>
      </c>
      <c r="H54" s="11" t="s">
        <v>992</v>
      </c>
      <c r="I54" t="str">
        <f t="shared" si="0"/>
        <v>EHDSPatient- address</v>
      </c>
      <c r="J54" s="33" t="s">
        <v>992</v>
      </c>
      <c r="K54" t="str">
        <f>IF(LEN(A54)&gt;0,_xlfn.IFNA(_xlfn.XLOOKUP(A54,FHIR!M:M,FHIR!E:E),""),"")</f>
        <v>Patient.address</v>
      </c>
      <c r="L54" s="11" t="s">
        <v>992</v>
      </c>
      <c r="M54" s="15" t="str">
        <f t="shared" si="1"/>
        <v/>
      </c>
      <c r="N54" s="11" t="s">
        <v>992</v>
      </c>
      <c r="O54" s="11"/>
      <c r="P54" s="11"/>
      <c r="Q54" t="str">
        <f>IF(LEN(A54)&gt;0,_xlfn.IFNA(_xlfn.XLOOKUP(A54,KOS!U:U,KOS!N:N),""),"")</f>
        <v/>
      </c>
      <c r="R54" t="str">
        <f>IF(LEN(A54)&gt;0,_xlfn.IFNA(_xlfn.XLOOKUP(A54,'KOS SR'!X:X,'KOS SR'!N:N),""),"")</f>
        <v/>
      </c>
      <c r="X54"/>
    </row>
    <row r="55" spans="1:24" ht="18.75" thickTop="1" thickBot="1" x14ac:dyDescent="0.35">
      <c r="A55" t="s">
        <v>618</v>
      </c>
      <c r="B55" t="s">
        <v>93</v>
      </c>
      <c r="C55" t="s">
        <v>111</v>
      </c>
      <c r="D55" t="s">
        <v>3</v>
      </c>
      <c r="E55" t="s">
        <v>112</v>
      </c>
      <c r="F55" t="s">
        <v>113</v>
      </c>
      <c r="G55" t="s">
        <v>95</v>
      </c>
      <c r="H55" s="11" t="s">
        <v>992</v>
      </c>
      <c r="I55" t="str">
        <f t="shared" si="0"/>
        <v>EHDSPatient- telecom</v>
      </c>
      <c r="J55" s="33" t="s">
        <v>992</v>
      </c>
      <c r="K55" t="str">
        <f>IF(LEN(A55)&gt;0,_xlfn.IFNA(_xlfn.XLOOKUP(A55,FHIR!M:M,FHIR!E:E),""),"")</f>
        <v>Patient.telecom</v>
      </c>
      <c r="L55" s="11" t="s">
        <v>992</v>
      </c>
      <c r="M55" s="15" t="str">
        <f t="shared" si="1"/>
        <v/>
      </c>
      <c r="N55" s="11" t="s">
        <v>992</v>
      </c>
      <c r="O55" s="11"/>
      <c r="P55" s="11"/>
      <c r="Q55" t="str">
        <f>IF(LEN(A55)&gt;0,_xlfn.IFNA(_xlfn.XLOOKUP(A55,KOS!U:U,KOS!N:N),""),"")</f>
        <v/>
      </c>
      <c r="R55" t="str">
        <f>IF(LEN(A55)&gt;0,_xlfn.IFNA(_xlfn.XLOOKUP(A55,'KOS SR'!X:X,'KOS SR'!N:N),""),"")</f>
        <v/>
      </c>
      <c r="X55"/>
    </row>
    <row r="56" spans="1:24" ht="18.75" thickTop="1" thickBot="1" x14ac:dyDescent="0.35">
      <c r="H56" s="11"/>
      <c r="J56" s="33"/>
      <c r="L56" s="11"/>
      <c r="N56" s="11"/>
      <c r="O56" s="11"/>
      <c r="P56" s="11"/>
      <c r="X56"/>
    </row>
    <row r="57" spans="1:24" ht="18.75" thickTop="1" thickBot="1" x14ac:dyDescent="0.35">
      <c r="H57" s="11" t="s">
        <v>992</v>
      </c>
      <c r="I57" s="27" t="s">
        <v>578</v>
      </c>
      <c r="J57" s="33" t="s">
        <v>992</v>
      </c>
      <c r="K57" s="27" t="s">
        <v>528</v>
      </c>
      <c r="L57" s="11" t="s">
        <v>992</v>
      </c>
      <c r="M57" s="29" t="s">
        <v>279</v>
      </c>
      <c r="N57" s="11" t="s">
        <v>992</v>
      </c>
      <c r="O57" s="11"/>
      <c r="P57" s="11"/>
      <c r="X57"/>
    </row>
    <row r="58" spans="1:24" ht="15.75" thickTop="1" x14ac:dyDescent="0.25">
      <c r="H58" s="11" t="s">
        <v>992</v>
      </c>
      <c r="I58" s="11" t="s">
        <v>993</v>
      </c>
      <c r="J58" s="11" t="s">
        <v>992</v>
      </c>
      <c r="K58" s="11" t="s">
        <v>993</v>
      </c>
      <c r="L58" s="11" t="s">
        <v>992</v>
      </c>
      <c r="M58" s="11" t="s">
        <v>993</v>
      </c>
      <c r="N58" s="11" t="s">
        <v>992</v>
      </c>
      <c r="O58" s="11"/>
      <c r="P58" s="11"/>
      <c r="X58"/>
    </row>
    <row r="59" spans="1:24" ht="18" thickBot="1" x14ac:dyDescent="0.35">
      <c r="A59" t="s">
        <v>679</v>
      </c>
      <c r="B59" t="s">
        <v>117</v>
      </c>
      <c r="C59" t="s">
        <v>2</v>
      </c>
      <c r="D59" t="s">
        <v>3</v>
      </c>
      <c r="E59" t="s">
        <v>118</v>
      </c>
      <c r="F59" t="s">
        <v>2</v>
      </c>
      <c r="G59" t="s">
        <v>95</v>
      </c>
      <c r="H59" s="11" t="s">
        <v>992</v>
      </c>
      <c r="I59" t="str">
        <f t="shared" si="0"/>
        <v xml:space="preserve">EHDSEndpoint </v>
      </c>
      <c r="J59" s="33" t="s">
        <v>992</v>
      </c>
      <c r="K59" t="str">
        <f>IF(LEN(A59)&gt;0,_xlfn.IFNA(_xlfn.XLOOKUP(A59,FHIR!M:M,FHIR!E:E),""),"")</f>
        <v/>
      </c>
      <c r="L59" s="11" t="s">
        <v>992</v>
      </c>
      <c r="M59" s="15" t="str">
        <f t="shared" si="1"/>
        <v/>
      </c>
      <c r="N59" s="11" t="s">
        <v>992</v>
      </c>
      <c r="O59" s="11"/>
      <c r="P59" s="11"/>
      <c r="Q59" t="str">
        <f>IF(LEN(A59)&gt;0,_xlfn.IFNA(_xlfn.XLOOKUP(A59,KOS!U:U,KOS!N:N),""),"")</f>
        <v/>
      </c>
      <c r="R59" t="str">
        <f>IF(LEN(A59)&gt;0,_xlfn.IFNA(_xlfn.XLOOKUP(A59,'KOS SR'!X:X,'KOS SR'!N:N),""),"")</f>
        <v/>
      </c>
      <c r="X59"/>
    </row>
    <row r="60" spans="1:24" ht="18.75" thickTop="1" thickBot="1" x14ac:dyDescent="0.35">
      <c r="A60" t="s">
        <v>680</v>
      </c>
      <c r="B60" t="s">
        <v>117</v>
      </c>
      <c r="C60" t="s">
        <v>96</v>
      </c>
      <c r="D60" t="s">
        <v>8</v>
      </c>
      <c r="E60" t="s">
        <v>119</v>
      </c>
      <c r="F60" t="s">
        <v>50</v>
      </c>
      <c r="G60" t="s">
        <v>95</v>
      </c>
      <c r="H60" s="11" t="s">
        <v>992</v>
      </c>
      <c r="I60" t="str">
        <f t="shared" si="0"/>
        <v>EHDSEndpoint- identifier</v>
      </c>
      <c r="J60" s="33" t="s">
        <v>992</v>
      </c>
      <c r="K60" t="str">
        <f>IF(LEN(A60)&gt;0,_xlfn.IFNA(_xlfn.XLOOKUP(A60,FHIR!M:M,FHIR!E:E),""),"")</f>
        <v>Endpoint-XcWADO.identifier</v>
      </c>
      <c r="L60" s="11" t="s">
        <v>992</v>
      </c>
      <c r="M60" s="15" t="str">
        <f t="shared" si="1"/>
        <v/>
      </c>
      <c r="N60" s="11" t="s">
        <v>992</v>
      </c>
      <c r="O60" s="11"/>
      <c r="P60" s="11"/>
      <c r="Q60" t="str">
        <f>IF(LEN(A60)&gt;0,_xlfn.IFNA(_xlfn.XLOOKUP(A60,KOS!U:U,KOS!N:N),""),"")</f>
        <v/>
      </c>
      <c r="R60" t="str">
        <f>IF(LEN(A60)&gt;0,_xlfn.IFNA(_xlfn.XLOOKUP(A60,'KOS SR'!X:X,'KOS SR'!N:N),""),"")</f>
        <v/>
      </c>
      <c r="X60"/>
    </row>
    <row r="61" spans="1:24" ht="18.75" thickTop="1" thickBot="1" x14ac:dyDescent="0.35">
      <c r="A61" t="s">
        <v>681</v>
      </c>
      <c r="B61" t="s">
        <v>117</v>
      </c>
      <c r="C61" t="s">
        <v>120</v>
      </c>
      <c r="D61" t="s">
        <v>5</v>
      </c>
      <c r="E61" t="s">
        <v>121</v>
      </c>
      <c r="F61" t="s">
        <v>55</v>
      </c>
      <c r="G61" t="s">
        <v>122</v>
      </c>
      <c r="H61" s="11" t="s">
        <v>992</v>
      </c>
      <c r="I61" t="str">
        <f t="shared" si="0"/>
        <v>EHDSEndpoint- status</v>
      </c>
      <c r="J61" s="33" t="s">
        <v>992</v>
      </c>
      <c r="K61" t="str">
        <f>IF(LEN(A61)&gt;0,_xlfn.IFNA(_xlfn.XLOOKUP(A61,FHIR!M:M,FHIR!E:E),""),"")</f>
        <v>Endpoint-XcWADO.status</v>
      </c>
      <c r="L61" s="11" t="s">
        <v>992</v>
      </c>
      <c r="M61" s="15" t="str">
        <f t="shared" si="1"/>
        <v/>
      </c>
      <c r="N61" s="11" t="s">
        <v>992</v>
      </c>
      <c r="O61" s="11"/>
      <c r="P61" s="11"/>
      <c r="Q61" t="str">
        <f>IF(LEN(A61)&gt;0,_xlfn.IFNA(_xlfn.XLOOKUP(A61,KOS!U:U,KOS!N:N),""),"")</f>
        <v/>
      </c>
      <c r="R61" t="str">
        <f>IF(LEN(A61)&gt;0,_xlfn.IFNA(_xlfn.XLOOKUP(A61,'KOS SR'!X:X,'KOS SR'!N:N),""),"")</f>
        <v/>
      </c>
      <c r="X61"/>
    </row>
    <row r="62" spans="1:24" ht="18.75" thickTop="1" thickBot="1" x14ac:dyDescent="0.35">
      <c r="A62" t="s">
        <v>682</v>
      </c>
      <c r="B62" t="s">
        <v>117</v>
      </c>
      <c r="C62" t="s">
        <v>123</v>
      </c>
      <c r="D62" t="s">
        <v>8</v>
      </c>
      <c r="E62" t="s">
        <v>124</v>
      </c>
      <c r="F62" t="s">
        <v>55</v>
      </c>
      <c r="G62" t="s">
        <v>95</v>
      </c>
      <c r="H62" s="11" t="s">
        <v>992</v>
      </c>
      <c r="I62" t="str">
        <f t="shared" si="0"/>
        <v>EHDSEndpoint- connectionType</v>
      </c>
      <c r="J62" s="33" t="s">
        <v>992</v>
      </c>
      <c r="K62" t="str">
        <f>IF(LEN(A62)&gt;0,_xlfn.IFNA(_xlfn.XLOOKUP(A62,FHIR!M:M,FHIR!E:E),""),"")</f>
        <v>Endpoint-XcWADO.connectionType</v>
      </c>
      <c r="L62" s="11" t="s">
        <v>992</v>
      </c>
      <c r="M62" s="15" t="str">
        <f t="shared" si="1"/>
        <v/>
      </c>
      <c r="N62" s="11" t="s">
        <v>992</v>
      </c>
      <c r="O62" s="11"/>
      <c r="P62" s="11"/>
      <c r="Q62" t="str">
        <f>IF(LEN(A62)&gt;0,_xlfn.IFNA(_xlfn.XLOOKUP(A62,KOS!U:U,KOS!N:N),""),"")</f>
        <v/>
      </c>
      <c r="R62" t="str">
        <f>IF(LEN(A62)&gt;0,_xlfn.IFNA(_xlfn.XLOOKUP(A62,'KOS SR'!X:X,'KOS SR'!N:N),""),"")</f>
        <v/>
      </c>
      <c r="X62"/>
    </row>
    <row r="63" spans="1:24" ht="18.75" thickTop="1" thickBot="1" x14ac:dyDescent="0.35">
      <c r="A63" t="s">
        <v>683</v>
      </c>
      <c r="B63" t="s">
        <v>117</v>
      </c>
      <c r="C63" t="s">
        <v>98</v>
      </c>
      <c r="D63" t="s">
        <v>13</v>
      </c>
      <c r="E63" t="s">
        <v>125</v>
      </c>
      <c r="F63" t="s">
        <v>60</v>
      </c>
      <c r="G63" t="s">
        <v>95</v>
      </c>
      <c r="H63" s="11" t="s">
        <v>992</v>
      </c>
      <c r="I63" t="str">
        <f t="shared" si="0"/>
        <v>EHDSEndpoint- name</v>
      </c>
      <c r="J63" s="33" t="s">
        <v>992</v>
      </c>
      <c r="K63" t="str">
        <f>IF(LEN(A63)&gt;0,_xlfn.IFNA(_xlfn.XLOOKUP(A63,FHIR!M:M,FHIR!E:E),""),"")</f>
        <v>Endpoint-XcWADO.name</v>
      </c>
      <c r="L63" s="11" t="s">
        <v>992</v>
      </c>
      <c r="M63" s="15" t="str">
        <f t="shared" si="1"/>
        <v/>
      </c>
      <c r="N63" s="11" t="s">
        <v>992</v>
      </c>
      <c r="O63" s="11"/>
      <c r="P63" s="11"/>
      <c r="Q63" t="str">
        <f>IF(LEN(A63)&gt;0,_xlfn.IFNA(_xlfn.XLOOKUP(A63,KOS!U:U,KOS!N:N),""),"")</f>
        <v/>
      </c>
      <c r="R63" t="str">
        <f>IF(LEN(A63)&gt;0,_xlfn.IFNA(_xlfn.XLOOKUP(A63,'KOS SR'!X:X,'KOS SR'!N:N),""),"")</f>
        <v/>
      </c>
      <c r="X63"/>
    </row>
    <row r="64" spans="1:24" ht="18.75" thickTop="1" thickBot="1" x14ac:dyDescent="0.35">
      <c r="A64" t="s">
        <v>684</v>
      </c>
      <c r="B64" t="s">
        <v>117</v>
      </c>
      <c r="C64" t="s">
        <v>126</v>
      </c>
      <c r="D64" t="s">
        <v>13</v>
      </c>
      <c r="E64" t="s">
        <v>127</v>
      </c>
      <c r="F64" t="s">
        <v>52</v>
      </c>
      <c r="G64" t="s">
        <v>95</v>
      </c>
      <c r="H64" s="11" t="s">
        <v>992</v>
      </c>
      <c r="I64" t="str">
        <f t="shared" si="0"/>
        <v>EHDSEndpoint- managingOrganisation</v>
      </c>
      <c r="J64" s="33" t="s">
        <v>992</v>
      </c>
      <c r="K64" t="str">
        <f>IF(LEN(A64)&gt;0,_xlfn.IFNA(_xlfn.XLOOKUP(A64,FHIR!M:M,FHIR!E:E),""),"")</f>
        <v>Endpoint-XcWADO.managingOrganisation</v>
      </c>
      <c r="L64" s="11" t="s">
        <v>992</v>
      </c>
      <c r="M64" s="15" t="str">
        <f t="shared" si="1"/>
        <v/>
      </c>
      <c r="N64" s="11" t="s">
        <v>992</v>
      </c>
      <c r="O64" s="11"/>
      <c r="P64" s="11"/>
      <c r="Q64" t="str">
        <f>IF(LEN(A64)&gt;0,_xlfn.IFNA(_xlfn.XLOOKUP(A64,KOS!U:U,KOS!N:N),""),"")</f>
        <v/>
      </c>
      <c r="R64" t="str">
        <f>IF(LEN(A64)&gt;0,_xlfn.IFNA(_xlfn.XLOOKUP(A64,'KOS SR'!X:X,'KOS SR'!N:N),""),"")</f>
        <v/>
      </c>
      <c r="X64"/>
    </row>
    <row r="65" spans="1:24" ht="18.75" thickTop="1" thickBot="1" x14ac:dyDescent="0.35">
      <c r="A65" t="s">
        <v>685</v>
      </c>
      <c r="B65" t="s">
        <v>117</v>
      </c>
      <c r="C65" t="s">
        <v>128</v>
      </c>
      <c r="D65" t="s">
        <v>3</v>
      </c>
      <c r="E65" t="s">
        <v>129</v>
      </c>
      <c r="F65" t="s">
        <v>48</v>
      </c>
      <c r="G65" t="s">
        <v>95</v>
      </c>
      <c r="H65" s="11" t="s">
        <v>992</v>
      </c>
      <c r="I65" t="str">
        <f t="shared" si="0"/>
        <v>EHDSEndpoint- payload</v>
      </c>
      <c r="J65" s="33" t="s">
        <v>992</v>
      </c>
      <c r="K65" t="str">
        <f>IF(LEN(A65)&gt;0,_xlfn.IFNA(_xlfn.XLOOKUP(A65,FHIR!M:M,FHIR!E:E),""),"")</f>
        <v>Endpoint-XcWADO.payload</v>
      </c>
      <c r="L65" s="11" t="s">
        <v>992</v>
      </c>
      <c r="M65" s="15" t="str">
        <f t="shared" si="1"/>
        <v/>
      </c>
      <c r="N65" s="11" t="s">
        <v>992</v>
      </c>
      <c r="O65" s="11"/>
      <c r="P65" s="11"/>
      <c r="Q65" t="str">
        <f>IF(LEN(A65)&gt;0,_xlfn.IFNA(_xlfn.XLOOKUP(A65,KOS!U:U,KOS!N:N),""),"")</f>
        <v/>
      </c>
      <c r="R65" t="str">
        <f>IF(LEN(A65)&gt;0,_xlfn.IFNA(_xlfn.XLOOKUP(A65,'KOS SR'!X:X,'KOS SR'!N:N),""),"")</f>
        <v/>
      </c>
      <c r="X65"/>
    </row>
    <row r="66" spans="1:24" ht="18.75" thickTop="1" thickBot="1" x14ac:dyDescent="0.35">
      <c r="A66" t="s">
        <v>686</v>
      </c>
      <c r="B66" t="s">
        <v>117</v>
      </c>
      <c r="C66" t="s">
        <v>130</v>
      </c>
      <c r="D66" t="s">
        <v>3</v>
      </c>
      <c r="E66" t="s">
        <v>131</v>
      </c>
      <c r="F66" t="s">
        <v>55</v>
      </c>
      <c r="G66" t="s">
        <v>95</v>
      </c>
      <c r="H66" s="11" t="s">
        <v>992</v>
      </c>
      <c r="I66" t="str">
        <f t="shared" si="0"/>
        <v>EHDSEndpoint- payload.type</v>
      </c>
      <c r="J66" s="33" t="s">
        <v>992</v>
      </c>
      <c r="K66" t="str">
        <f>IF(LEN(A66)&gt;0,_xlfn.IFNA(_xlfn.XLOOKUP(A66,FHIR!M:M,FHIR!E:E),""),"")</f>
        <v>Endpoint-XcWADO.payload.type</v>
      </c>
      <c r="L66" s="11" t="s">
        <v>992</v>
      </c>
      <c r="M66" s="15" t="str">
        <f t="shared" si="1"/>
        <v/>
      </c>
      <c r="N66" s="11" t="s">
        <v>992</v>
      </c>
      <c r="O66" s="11"/>
      <c r="P66" s="11"/>
      <c r="Q66" t="str">
        <f>IF(LEN(A66)&gt;0,_xlfn.IFNA(_xlfn.XLOOKUP(A66,KOS!U:U,KOS!N:N),""),"")</f>
        <v/>
      </c>
      <c r="R66" t="str">
        <f>IF(LEN(A66)&gt;0,_xlfn.IFNA(_xlfn.XLOOKUP(A66,'KOS SR'!X:X,'KOS SR'!N:N),""),"")</f>
        <v/>
      </c>
      <c r="X66"/>
    </row>
    <row r="67" spans="1:24" ht="18.75" thickTop="1" thickBot="1" x14ac:dyDescent="0.35">
      <c r="A67" t="s">
        <v>687</v>
      </c>
      <c r="B67" t="s">
        <v>117</v>
      </c>
      <c r="C67" t="s">
        <v>132</v>
      </c>
      <c r="D67" t="s">
        <v>3</v>
      </c>
      <c r="E67" t="s">
        <v>133</v>
      </c>
      <c r="F67" t="s">
        <v>55</v>
      </c>
      <c r="G67" t="s">
        <v>134</v>
      </c>
      <c r="H67" s="11" t="s">
        <v>992</v>
      </c>
      <c r="I67" t="str">
        <f t="shared" si="0"/>
        <v>EHDSEndpoint- payload.mimeType</v>
      </c>
      <c r="J67" s="33" t="s">
        <v>992</v>
      </c>
      <c r="K67" t="str">
        <f>IF(LEN(A67)&gt;0,_xlfn.IFNA(_xlfn.XLOOKUP(A67,FHIR!M:M,FHIR!E:E),""),"")</f>
        <v>Endpoint-XcWADO.payload.mimeType</v>
      </c>
      <c r="L67" s="11" t="s">
        <v>992</v>
      </c>
      <c r="M67" s="15" t="str">
        <f t="shared" si="1"/>
        <v/>
      </c>
      <c r="N67" s="11" t="s">
        <v>992</v>
      </c>
      <c r="O67" s="11"/>
      <c r="P67" s="11"/>
      <c r="Q67" t="str">
        <f>IF(LEN(A67)&gt;0,_xlfn.IFNA(_xlfn.XLOOKUP(A67,KOS!U:U,KOS!N:N),""),"")</f>
        <v/>
      </c>
      <c r="R67" t="str">
        <f>IF(LEN(A67)&gt;0,_xlfn.IFNA(_xlfn.XLOOKUP(A67,'KOS SR'!X:X,'KOS SR'!N:N),""),"")</f>
        <v/>
      </c>
      <c r="X67"/>
    </row>
    <row r="68" spans="1:24" ht="18.75" thickTop="1" thickBot="1" x14ac:dyDescent="0.35">
      <c r="A68" t="s">
        <v>698</v>
      </c>
      <c r="B68" t="s">
        <v>117</v>
      </c>
      <c r="C68" t="s">
        <v>135</v>
      </c>
      <c r="D68" t="s">
        <v>3</v>
      </c>
      <c r="E68" t="s">
        <v>136</v>
      </c>
      <c r="F68" t="s">
        <v>63</v>
      </c>
      <c r="G68" t="s">
        <v>95</v>
      </c>
      <c r="H68" s="11" t="s">
        <v>992</v>
      </c>
      <c r="I68" t="str">
        <f t="shared" si="0"/>
        <v>EHDSEndpoint- payload.profileCanonical</v>
      </c>
      <c r="J68" s="33" t="s">
        <v>992</v>
      </c>
      <c r="K68" t="str">
        <f>IF(LEN(A68)&gt;0,_xlfn.IFNA(_xlfn.XLOOKUP(A68,FHIR!M:M,FHIR!E:E),""),"")</f>
        <v>Endpoint-XcWADO.payload.profileCanonical</v>
      </c>
      <c r="L68" s="11" t="s">
        <v>992</v>
      </c>
      <c r="M68" s="15" t="str">
        <f t="shared" si="1"/>
        <v/>
      </c>
      <c r="N68" s="11" t="s">
        <v>992</v>
      </c>
      <c r="O68" s="11"/>
      <c r="P68" s="11"/>
      <c r="Q68" t="str">
        <f>IF(LEN(A68)&gt;0,_xlfn.IFNA(_xlfn.XLOOKUP(A68,KOS!U:U,KOS!N:N),""),"")</f>
        <v/>
      </c>
      <c r="R68" t="str">
        <f>IF(LEN(A68)&gt;0,_xlfn.IFNA(_xlfn.XLOOKUP(A68,'KOS SR'!X:X,'KOS SR'!N:N),""),"")</f>
        <v/>
      </c>
      <c r="X68"/>
    </row>
    <row r="69" spans="1:24" ht="18.75" thickTop="1" thickBot="1" x14ac:dyDescent="0.35">
      <c r="A69" t="s">
        <v>688</v>
      </c>
      <c r="B69" t="s">
        <v>117</v>
      </c>
      <c r="C69" t="s">
        <v>137</v>
      </c>
      <c r="D69" t="s">
        <v>3</v>
      </c>
      <c r="E69" t="s">
        <v>138</v>
      </c>
      <c r="F69" t="s">
        <v>63</v>
      </c>
      <c r="G69" t="s">
        <v>95</v>
      </c>
      <c r="H69" s="11" t="s">
        <v>992</v>
      </c>
      <c r="I69" t="str">
        <f t="shared" si="0"/>
        <v>EHDSEndpoint- payload.profileUri</v>
      </c>
      <c r="J69" s="33" t="s">
        <v>992</v>
      </c>
      <c r="K69" t="str">
        <f>IF(LEN(A69)&gt;0,_xlfn.IFNA(_xlfn.XLOOKUP(A69,FHIR!M:M,FHIR!E:E),""),"")</f>
        <v>Endpoint-XcWADO.payload.profileUri</v>
      </c>
      <c r="L69" s="11" t="s">
        <v>992</v>
      </c>
      <c r="M69" s="15" t="str">
        <f t="shared" si="1"/>
        <v/>
      </c>
      <c r="N69" s="11" t="s">
        <v>992</v>
      </c>
      <c r="O69" s="11"/>
      <c r="P69" s="11"/>
      <c r="Q69" t="str">
        <f>IF(LEN(A69)&gt;0,_xlfn.IFNA(_xlfn.XLOOKUP(A69,KOS!U:U,KOS!N:N),""),"")</f>
        <v/>
      </c>
      <c r="R69" t="str">
        <f>IF(LEN(A69)&gt;0,_xlfn.IFNA(_xlfn.XLOOKUP(A69,'KOS SR'!X:X,'KOS SR'!N:N),""),"")</f>
        <v/>
      </c>
      <c r="X69"/>
    </row>
    <row r="70" spans="1:24" ht="32.25" thickTop="1" thickBot="1" x14ac:dyDescent="0.35">
      <c r="A70" t="s">
        <v>689</v>
      </c>
      <c r="B70" t="s">
        <v>117</v>
      </c>
      <c r="C70" t="s">
        <v>108</v>
      </c>
      <c r="D70" t="s">
        <v>5</v>
      </c>
      <c r="E70" t="s">
        <v>139</v>
      </c>
      <c r="F70" t="s">
        <v>63</v>
      </c>
      <c r="G70" t="s">
        <v>95</v>
      </c>
      <c r="H70" s="11" t="s">
        <v>992</v>
      </c>
      <c r="I70" t="str">
        <f t="shared" si="0"/>
        <v>EHDSEndpoint- address</v>
      </c>
      <c r="J70" s="33" t="s">
        <v>992</v>
      </c>
      <c r="K70" t="str">
        <f>IF(LEN(A70)&gt;0,_xlfn.IFNA(_xlfn.XLOOKUP(A70,FHIR!M:M,FHIR!E:E),""),"")</f>
        <v>Endpoint-XcWADO.address</v>
      </c>
      <c r="L70" s="11" t="s">
        <v>992</v>
      </c>
      <c r="M70" s="15" t="str">
        <f t="shared" si="1"/>
        <v>Key Object Document-Current Requested Procedure Evidence Sequence-Retrieve URL</v>
      </c>
      <c r="N70" s="11" t="s">
        <v>992</v>
      </c>
      <c r="O70" s="11"/>
      <c r="P70" s="11"/>
      <c r="Q70" t="str">
        <f>IF(LEN(A70)&gt;0,_xlfn.IFNA(_xlfn.XLOOKUP(A70,KOS!U:U,KOS!N:N),""),"")</f>
        <v>Key Object Document-Current Requested Procedure Evidence Sequence-Retrieve URL</v>
      </c>
      <c r="R70" t="str">
        <f>IF(LEN(A70)&gt;0,_xlfn.IFNA(_xlfn.XLOOKUP(A70,'KOS SR'!X:X,'KOS SR'!N:N),""),"")</f>
        <v/>
      </c>
      <c r="X70"/>
    </row>
    <row r="71" spans="1:24" ht="18.75" thickTop="1" thickBot="1" x14ac:dyDescent="0.35">
      <c r="A71" t="s">
        <v>690</v>
      </c>
      <c r="B71" t="s">
        <v>117</v>
      </c>
      <c r="C71" t="s">
        <v>4</v>
      </c>
      <c r="D71" t="s">
        <v>3</v>
      </c>
      <c r="E71" t="s">
        <v>140</v>
      </c>
      <c r="F71" t="s">
        <v>60</v>
      </c>
      <c r="G71" t="s">
        <v>95</v>
      </c>
      <c r="H71" s="11" t="s">
        <v>992</v>
      </c>
      <c r="I71" t="str">
        <f t="shared" si="0"/>
        <v>EHDSEndpoint- header</v>
      </c>
      <c r="J71" s="33" t="s">
        <v>992</v>
      </c>
      <c r="K71" t="str">
        <f>IF(LEN(A71)&gt;0,_xlfn.IFNA(_xlfn.XLOOKUP(A71,FHIR!M:M,FHIR!E:E),""),"")</f>
        <v>Endpoint-XcWADO.header</v>
      </c>
      <c r="L71" s="11" t="s">
        <v>992</v>
      </c>
      <c r="M71" s="15" t="str">
        <f t="shared" si="1"/>
        <v/>
      </c>
      <c r="N71" s="11" t="s">
        <v>992</v>
      </c>
      <c r="O71" s="11"/>
      <c r="P71" s="11"/>
      <c r="Q71" t="str">
        <f>IF(LEN(A71)&gt;0,_xlfn.IFNA(_xlfn.XLOOKUP(A71,KOS!U:U,KOS!N:N),""),"")</f>
        <v/>
      </c>
      <c r="R71" t="str">
        <f>IF(LEN(A71)&gt;0,_xlfn.IFNA(_xlfn.XLOOKUP(A71,'KOS SR'!X:X,'KOS SR'!N:N),""),"")</f>
        <v/>
      </c>
      <c r="X71"/>
    </row>
    <row r="72" spans="1:24" ht="18.75" thickTop="1" thickBot="1" x14ac:dyDescent="0.35">
      <c r="H72" s="11"/>
      <c r="J72" s="33"/>
      <c r="L72" s="11"/>
      <c r="N72" s="11"/>
      <c r="O72" s="11"/>
      <c r="P72" s="11"/>
      <c r="X72"/>
    </row>
    <row r="73" spans="1:24" ht="18.75" thickTop="1" thickBot="1" x14ac:dyDescent="0.35">
      <c r="H73" s="11"/>
      <c r="J73" s="33"/>
      <c r="L73" s="11"/>
      <c r="N73" s="11"/>
      <c r="O73" s="11"/>
      <c r="P73" s="11"/>
      <c r="X73"/>
    </row>
    <row r="74" spans="1:24" ht="18.75" thickTop="1" thickBot="1" x14ac:dyDescent="0.35">
      <c r="H74" s="11"/>
      <c r="J74" s="33"/>
      <c r="L74" s="11"/>
      <c r="N74" s="11"/>
      <c r="O74" s="11"/>
      <c r="P74" s="11"/>
      <c r="X74"/>
    </row>
    <row r="75" spans="1:24" ht="18.75" thickTop="1" thickBot="1" x14ac:dyDescent="0.35">
      <c r="A75" t="s">
        <v>830</v>
      </c>
      <c r="B75" t="s">
        <v>141</v>
      </c>
      <c r="C75" t="s">
        <v>2</v>
      </c>
      <c r="D75" t="s">
        <v>3</v>
      </c>
      <c r="E75" t="s">
        <v>142</v>
      </c>
      <c r="F75" t="s">
        <v>2</v>
      </c>
      <c r="G75" t="s">
        <v>95</v>
      </c>
      <c r="H75" s="11" t="s">
        <v>992</v>
      </c>
      <c r="I75" t="str">
        <f t="shared" si="0"/>
        <v xml:space="preserve">EHDSHealthProfessional </v>
      </c>
      <c r="J75" s="33" t="s">
        <v>992</v>
      </c>
      <c r="K75" t="str">
        <f>IF(LEN(A75)&gt;0,_xlfn.IFNA(_xlfn.XLOOKUP(A75,FHIR!M:M,FHIR!E:E),""),"")</f>
        <v/>
      </c>
      <c r="L75" s="11" t="s">
        <v>992</v>
      </c>
      <c r="M75" s="15" t="str">
        <f t="shared" si="1"/>
        <v/>
      </c>
      <c r="N75" s="11" t="s">
        <v>992</v>
      </c>
      <c r="O75" s="11"/>
      <c r="P75" s="11"/>
      <c r="Q75" t="str">
        <f>IF(LEN(A75)&gt;0,_xlfn.IFNA(_xlfn.XLOOKUP(A75,KOS!U:U,KOS!N:N),""),"")</f>
        <v/>
      </c>
      <c r="R75" t="str">
        <f>IF(LEN(A75)&gt;0,_xlfn.IFNA(_xlfn.XLOOKUP(A75,'KOS SR'!X:X,'KOS SR'!N:N),""),"")</f>
        <v/>
      </c>
      <c r="X75"/>
    </row>
    <row r="76" spans="1:24" ht="18.75" thickTop="1" thickBot="1" x14ac:dyDescent="0.35">
      <c r="A76" t="s">
        <v>831</v>
      </c>
      <c r="B76" t="s">
        <v>141</v>
      </c>
      <c r="C76" t="s">
        <v>96</v>
      </c>
      <c r="D76" t="s">
        <v>3</v>
      </c>
      <c r="E76" t="s">
        <v>143</v>
      </c>
      <c r="F76" t="s">
        <v>50</v>
      </c>
      <c r="G76" t="s">
        <v>95</v>
      </c>
      <c r="H76" s="11" t="s">
        <v>992</v>
      </c>
      <c r="I76" t="str">
        <f t="shared" si="0"/>
        <v>EHDSHealthProfessional- identifier</v>
      </c>
      <c r="J76" s="33" t="s">
        <v>992</v>
      </c>
      <c r="K76" t="str">
        <f>IF(LEN(A76)&gt;0,_xlfn.IFNA(_xlfn.XLOOKUP(A76,FHIR!M:M,FHIR!E:E),""),"")</f>
        <v/>
      </c>
      <c r="L76" s="11" t="s">
        <v>992</v>
      </c>
      <c r="M76" s="15" t="str">
        <f t="shared" si="1"/>
        <v/>
      </c>
      <c r="N76" s="11" t="s">
        <v>992</v>
      </c>
      <c r="O76" s="11"/>
      <c r="P76" s="11"/>
      <c r="Q76" t="str">
        <f>IF(LEN(A76)&gt;0,_xlfn.IFNA(_xlfn.XLOOKUP(A76,KOS!U:U,KOS!N:N),""),"")</f>
        <v/>
      </c>
      <c r="R76" t="str">
        <f>IF(LEN(A76)&gt;0,_xlfn.IFNA(_xlfn.XLOOKUP(A76,'KOS SR'!X:X,'KOS SR'!N:N),""),"")</f>
        <v/>
      </c>
      <c r="X76"/>
    </row>
    <row r="77" spans="1:24" ht="18.75" thickTop="1" thickBot="1" x14ac:dyDescent="0.35">
      <c r="A77" t="s">
        <v>832</v>
      </c>
      <c r="B77" t="s">
        <v>141</v>
      </c>
      <c r="C77" t="s">
        <v>98</v>
      </c>
      <c r="D77" t="s">
        <v>13</v>
      </c>
      <c r="E77" t="s">
        <v>144</v>
      </c>
      <c r="F77" t="s">
        <v>100</v>
      </c>
      <c r="G77" t="s">
        <v>95</v>
      </c>
      <c r="H77" s="11" t="s">
        <v>992</v>
      </c>
      <c r="I77" t="str">
        <f t="shared" ref="I77:I143" si="3">B77&amp;IF(LEN(TRIM(C77))&gt;0,"-","")&amp;C77</f>
        <v>EHDSHealthProfessional- name</v>
      </c>
      <c r="J77" s="33" t="s">
        <v>992</v>
      </c>
      <c r="K77" t="str">
        <f>IF(LEN(A77)&gt;0,_xlfn.IFNA(_xlfn.XLOOKUP(A77,FHIR!M:M,FHIR!E:E),""),"")</f>
        <v/>
      </c>
      <c r="L77" s="11" t="s">
        <v>992</v>
      </c>
      <c r="M77" s="15" t="str">
        <f t="shared" ref="M77:M143" si="4">IF(LEN(TRIM(Q77))&gt;0,Q77,R77)</f>
        <v/>
      </c>
      <c r="N77" s="11" t="s">
        <v>992</v>
      </c>
      <c r="O77" s="11"/>
      <c r="P77" s="11"/>
      <c r="Q77" t="str">
        <f>IF(LEN(A77)&gt;0,_xlfn.IFNA(_xlfn.XLOOKUP(A77,KOS!U:U,KOS!N:N),""),"")</f>
        <v/>
      </c>
      <c r="R77" t="str">
        <f>IF(LEN(A77)&gt;0,_xlfn.IFNA(_xlfn.XLOOKUP(A77,'KOS SR'!X:X,'KOS SR'!N:N),""),"")</f>
        <v/>
      </c>
      <c r="X77"/>
    </row>
    <row r="78" spans="1:24" ht="18.75" thickTop="1" thickBot="1" x14ac:dyDescent="0.35">
      <c r="A78" t="s">
        <v>833</v>
      </c>
      <c r="B78" t="s">
        <v>141</v>
      </c>
      <c r="C78" t="s">
        <v>108</v>
      </c>
      <c r="D78" t="s">
        <v>3</v>
      </c>
      <c r="E78" t="s">
        <v>145</v>
      </c>
      <c r="F78" t="s">
        <v>110</v>
      </c>
      <c r="G78" t="s">
        <v>95</v>
      </c>
      <c r="H78" s="11" t="s">
        <v>992</v>
      </c>
      <c r="I78" t="str">
        <f t="shared" si="3"/>
        <v>EHDSHealthProfessional- address</v>
      </c>
      <c r="J78" s="33" t="s">
        <v>992</v>
      </c>
      <c r="K78" t="str">
        <f>IF(LEN(A78)&gt;0,_xlfn.IFNA(_xlfn.XLOOKUP(A78,FHIR!M:M,FHIR!E:E),""),"")</f>
        <v/>
      </c>
      <c r="L78" s="11" t="s">
        <v>992</v>
      </c>
      <c r="M78" s="15" t="str">
        <f t="shared" si="4"/>
        <v/>
      </c>
      <c r="N78" s="11" t="s">
        <v>992</v>
      </c>
      <c r="O78" s="11"/>
      <c r="P78" s="11"/>
      <c r="Q78" t="str">
        <f>IF(LEN(A78)&gt;0,_xlfn.IFNA(_xlfn.XLOOKUP(A78,KOS!U:U,KOS!N:N),""),"")</f>
        <v/>
      </c>
      <c r="R78" t="str">
        <f>IF(LEN(A78)&gt;0,_xlfn.IFNA(_xlfn.XLOOKUP(A78,'KOS SR'!X:X,'KOS SR'!N:N),""),"")</f>
        <v/>
      </c>
      <c r="X78"/>
    </row>
    <row r="79" spans="1:24" ht="18.75" thickTop="1" thickBot="1" x14ac:dyDescent="0.35">
      <c r="A79" t="s">
        <v>834</v>
      </c>
      <c r="B79" t="s">
        <v>141</v>
      </c>
      <c r="C79" t="s">
        <v>111</v>
      </c>
      <c r="D79" t="s">
        <v>3</v>
      </c>
      <c r="E79" t="s">
        <v>146</v>
      </c>
      <c r="F79" t="s">
        <v>113</v>
      </c>
      <c r="G79" t="s">
        <v>95</v>
      </c>
      <c r="H79" s="11" t="s">
        <v>992</v>
      </c>
      <c r="I79" t="str">
        <f t="shared" si="3"/>
        <v>EHDSHealthProfessional- telecom</v>
      </c>
      <c r="J79" s="33" t="s">
        <v>992</v>
      </c>
      <c r="K79" t="str">
        <f>IF(LEN(A79)&gt;0,_xlfn.IFNA(_xlfn.XLOOKUP(A79,FHIR!M:M,FHIR!E:E),""),"")</f>
        <v/>
      </c>
      <c r="L79" s="11" t="s">
        <v>992</v>
      </c>
      <c r="M79" s="15" t="str">
        <f t="shared" si="4"/>
        <v/>
      </c>
      <c r="N79" s="11" t="s">
        <v>992</v>
      </c>
      <c r="O79" s="11"/>
      <c r="P79" s="11"/>
      <c r="Q79" t="str">
        <f>IF(LEN(A79)&gt;0,_xlfn.IFNA(_xlfn.XLOOKUP(A79,KOS!U:U,KOS!N:N),""),"")</f>
        <v/>
      </c>
      <c r="R79" t="str">
        <f>IF(LEN(A79)&gt;0,_xlfn.IFNA(_xlfn.XLOOKUP(A79,'KOS SR'!X:X,'KOS SR'!N:N),""),"")</f>
        <v/>
      </c>
      <c r="X79"/>
    </row>
    <row r="80" spans="1:24" ht="18.75" thickTop="1" thickBot="1" x14ac:dyDescent="0.35">
      <c r="A80" t="s">
        <v>835</v>
      </c>
      <c r="B80" t="s">
        <v>141</v>
      </c>
      <c r="C80" t="s">
        <v>147</v>
      </c>
      <c r="D80" t="s">
        <v>3</v>
      </c>
      <c r="E80" t="s">
        <v>148</v>
      </c>
      <c r="F80" t="s">
        <v>48</v>
      </c>
      <c r="G80" t="s">
        <v>95</v>
      </c>
      <c r="H80" s="11" t="s">
        <v>992</v>
      </c>
      <c r="I80" t="str">
        <f t="shared" si="3"/>
        <v>EHDSHealthProfessional- professionalRole</v>
      </c>
      <c r="J80" s="33" t="s">
        <v>992</v>
      </c>
      <c r="K80" t="str">
        <f>IF(LEN(A80)&gt;0,_xlfn.IFNA(_xlfn.XLOOKUP(A80,FHIR!M:M,FHIR!E:E),""),"")</f>
        <v/>
      </c>
      <c r="L80" s="11" t="s">
        <v>992</v>
      </c>
      <c r="M80" s="15" t="str">
        <f t="shared" si="4"/>
        <v/>
      </c>
      <c r="N80" s="11" t="s">
        <v>992</v>
      </c>
      <c r="O80" s="11"/>
      <c r="P80" s="11"/>
      <c r="Q80" t="str">
        <f>IF(LEN(A80)&gt;0,_xlfn.IFNA(_xlfn.XLOOKUP(A80,KOS!U:U,KOS!N:N),""),"")</f>
        <v/>
      </c>
      <c r="R80" t="str">
        <f>IF(LEN(A80)&gt;0,_xlfn.IFNA(_xlfn.XLOOKUP(A80,'KOS SR'!X:X,'KOS SR'!N:N),""),"")</f>
        <v/>
      </c>
      <c r="X80"/>
    </row>
    <row r="81" spans="1:24" ht="18.75" thickTop="1" thickBot="1" x14ac:dyDescent="0.35">
      <c r="A81" t="s">
        <v>836</v>
      </c>
      <c r="B81" t="s">
        <v>141</v>
      </c>
      <c r="C81" t="s">
        <v>149</v>
      </c>
      <c r="D81" t="s">
        <v>3</v>
      </c>
      <c r="E81" t="s">
        <v>150</v>
      </c>
      <c r="F81" t="s">
        <v>55</v>
      </c>
      <c r="G81" t="s">
        <v>151</v>
      </c>
      <c r="H81" s="11" t="s">
        <v>992</v>
      </c>
      <c r="I81" t="str">
        <f t="shared" si="3"/>
        <v>EHDSHealthProfessional- professionalRole.role</v>
      </c>
      <c r="J81" s="33" t="s">
        <v>992</v>
      </c>
      <c r="K81" t="str">
        <f>IF(LEN(A81)&gt;0,_xlfn.IFNA(_xlfn.XLOOKUP(A81,FHIR!M:M,FHIR!E:E),""),"")</f>
        <v/>
      </c>
      <c r="L81" s="11" t="s">
        <v>992</v>
      </c>
      <c r="M81" s="15" t="str">
        <f t="shared" si="4"/>
        <v/>
      </c>
      <c r="N81" s="11" t="s">
        <v>992</v>
      </c>
      <c r="O81" s="11"/>
      <c r="P81" s="11"/>
      <c r="Q81" t="str">
        <f>IF(LEN(A81)&gt;0,_xlfn.IFNA(_xlfn.XLOOKUP(A81,KOS!U:U,KOS!N:N),""),"")</f>
        <v/>
      </c>
      <c r="R81" t="str">
        <f>IF(LEN(A81)&gt;0,_xlfn.IFNA(_xlfn.XLOOKUP(A81,'KOS SR'!X:X,'KOS SR'!N:N),""),"")</f>
        <v/>
      </c>
      <c r="X81"/>
    </row>
    <row r="82" spans="1:24" ht="18.75" thickTop="1" thickBot="1" x14ac:dyDescent="0.35">
      <c r="A82" t="s">
        <v>837</v>
      </c>
      <c r="B82" t="s">
        <v>141</v>
      </c>
      <c r="C82" t="s">
        <v>152</v>
      </c>
      <c r="D82" t="s">
        <v>13</v>
      </c>
      <c r="E82" t="s">
        <v>153</v>
      </c>
      <c r="F82" t="s">
        <v>52</v>
      </c>
      <c r="G82" t="s">
        <v>95</v>
      </c>
      <c r="H82" s="11" t="s">
        <v>992</v>
      </c>
      <c r="I82" t="str">
        <f t="shared" si="3"/>
        <v>EHDSHealthProfessional- professionalRole.organisation</v>
      </c>
      <c r="J82" s="33" t="s">
        <v>992</v>
      </c>
      <c r="K82" t="str">
        <f>IF(LEN(A82)&gt;0,_xlfn.IFNA(_xlfn.XLOOKUP(A82,FHIR!M:M,FHIR!E:E),""),"")</f>
        <v/>
      </c>
      <c r="L82" s="11" t="s">
        <v>992</v>
      </c>
      <c r="M82" s="15" t="str">
        <f t="shared" si="4"/>
        <v/>
      </c>
      <c r="N82" s="11" t="s">
        <v>992</v>
      </c>
      <c r="O82" s="11"/>
      <c r="P82" s="11"/>
      <c r="Q82" t="str">
        <f>IF(LEN(A82)&gt;0,_xlfn.IFNA(_xlfn.XLOOKUP(A82,KOS!U:U,KOS!N:N),""),"")</f>
        <v/>
      </c>
      <c r="R82" t="str">
        <f>IF(LEN(A82)&gt;0,_xlfn.IFNA(_xlfn.XLOOKUP(A82,'KOS SR'!X:X,'KOS SR'!N:N),""),"")</f>
        <v/>
      </c>
      <c r="X82"/>
    </row>
    <row r="83" spans="1:24" ht="18.75" thickTop="1" thickBot="1" x14ac:dyDescent="0.35">
      <c r="A83" t="s">
        <v>838</v>
      </c>
      <c r="B83" t="s">
        <v>141</v>
      </c>
      <c r="C83" t="s">
        <v>154</v>
      </c>
      <c r="D83" t="s">
        <v>3</v>
      </c>
      <c r="E83" t="s">
        <v>155</v>
      </c>
      <c r="F83" t="s">
        <v>55</v>
      </c>
      <c r="G83" t="s">
        <v>156</v>
      </c>
      <c r="H83" s="11" t="s">
        <v>992</v>
      </c>
      <c r="I83" t="str">
        <f t="shared" si="3"/>
        <v>EHDSHealthProfessional- professionalRole.specialty</v>
      </c>
      <c r="J83" s="33" t="s">
        <v>992</v>
      </c>
      <c r="K83" t="str">
        <f>IF(LEN(A83)&gt;0,_xlfn.IFNA(_xlfn.XLOOKUP(A83,FHIR!M:M,FHIR!E:E),""),"")</f>
        <v/>
      </c>
      <c r="L83" s="11" t="s">
        <v>992</v>
      </c>
      <c r="M83" s="15" t="str">
        <f t="shared" si="4"/>
        <v/>
      </c>
      <c r="N83" s="11" t="s">
        <v>992</v>
      </c>
      <c r="O83" s="11"/>
      <c r="P83" s="11"/>
      <c r="Q83" t="str">
        <f>IF(LEN(A83)&gt;0,_xlfn.IFNA(_xlfn.XLOOKUP(A83,KOS!U:U,KOS!N:N),""),"")</f>
        <v/>
      </c>
      <c r="R83" t="str">
        <f>IF(LEN(A83)&gt;0,_xlfn.IFNA(_xlfn.XLOOKUP(A83,'KOS SR'!X:X,'KOS SR'!N:N),""),"")</f>
        <v/>
      </c>
      <c r="X83"/>
    </row>
    <row r="84" spans="1:24" ht="18.75" thickTop="1" thickBot="1" x14ac:dyDescent="0.35">
      <c r="H84" s="11"/>
      <c r="J84" s="33"/>
      <c r="L84" s="11"/>
      <c r="N84" s="11"/>
      <c r="O84" s="11"/>
      <c r="P84" s="11"/>
      <c r="X84"/>
    </row>
    <row r="85" spans="1:24" ht="18.75" thickTop="1" thickBot="1" x14ac:dyDescent="0.35">
      <c r="H85" s="11"/>
      <c r="J85" s="33"/>
      <c r="L85" s="11"/>
      <c r="N85" s="11"/>
      <c r="O85" s="11"/>
      <c r="P85" s="11"/>
      <c r="X85"/>
    </row>
    <row r="86" spans="1:24" ht="18.75" thickTop="1" thickBot="1" x14ac:dyDescent="0.35">
      <c r="H86" s="11"/>
      <c r="J86" s="33"/>
      <c r="L86" s="11"/>
      <c r="N86" s="11"/>
      <c r="O86" s="11"/>
      <c r="P86" s="11"/>
      <c r="X86"/>
    </row>
    <row r="87" spans="1:24" ht="18.75" thickTop="1" thickBot="1" x14ac:dyDescent="0.35">
      <c r="A87" t="s">
        <v>839</v>
      </c>
      <c r="B87" t="s">
        <v>157</v>
      </c>
      <c r="C87" t="s">
        <v>2</v>
      </c>
      <c r="D87" t="s">
        <v>3</v>
      </c>
      <c r="E87" t="s">
        <v>158</v>
      </c>
      <c r="F87" t="s">
        <v>2</v>
      </c>
      <c r="G87" t="s">
        <v>95</v>
      </c>
      <c r="H87" s="11" t="s">
        <v>992</v>
      </c>
      <c r="I87" t="str">
        <f t="shared" si="3"/>
        <v xml:space="preserve">EHDSOrganisation </v>
      </c>
      <c r="J87" s="33" t="s">
        <v>992</v>
      </c>
      <c r="K87" t="str">
        <f>IF(LEN(A87)&gt;0,_xlfn.IFNA(_xlfn.XLOOKUP(A87,FHIR!M:M,FHIR!E:E),""),"")</f>
        <v/>
      </c>
      <c r="L87" s="11" t="s">
        <v>992</v>
      </c>
      <c r="M87" s="15" t="str">
        <f t="shared" si="4"/>
        <v/>
      </c>
      <c r="N87" s="11" t="s">
        <v>992</v>
      </c>
      <c r="O87" s="11"/>
      <c r="P87" s="11"/>
      <c r="Q87" t="str">
        <f>IF(LEN(A87)&gt;0,_xlfn.IFNA(_xlfn.XLOOKUP(A87,KOS!U:U,KOS!N:N),""),"")</f>
        <v/>
      </c>
      <c r="R87" t="str">
        <f>IF(LEN(A87)&gt;0,_xlfn.IFNA(_xlfn.XLOOKUP(A87,'KOS SR'!X:X,'KOS SR'!N:N),""),"")</f>
        <v/>
      </c>
      <c r="X87"/>
    </row>
    <row r="88" spans="1:24" ht="18.75" thickTop="1" thickBot="1" x14ac:dyDescent="0.35">
      <c r="A88" t="s">
        <v>840</v>
      </c>
      <c r="B88" t="s">
        <v>157</v>
      </c>
      <c r="C88" t="s">
        <v>96</v>
      </c>
      <c r="D88" t="s">
        <v>3</v>
      </c>
      <c r="E88" t="s">
        <v>159</v>
      </c>
      <c r="F88" t="s">
        <v>50</v>
      </c>
      <c r="G88" t="s">
        <v>95</v>
      </c>
      <c r="H88" s="11" t="s">
        <v>992</v>
      </c>
      <c r="I88" t="str">
        <f t="shared" si="3"/>
        <v>EHDSOrganisation- identifier</v>
      </c>
      <c r="J88" s="33" t="s">
        <v>992</v>
      </c>
      <c r="K88" t="str">
        <f>IF(LEN(A88)&gt;0,_xlfn.IFNA(_xlfn.XLOOKUP(A88,FHIR!M:M,FHIR!E:E),""),"")</f>
        <v/>
      </c>
      <c r="L88" s="11" t="s">
        <v>992</v>
      </c>
      <c r="M88" s="15" t="str">
        <f t="shared" si="4"/>
        <v/>
      </c>
      <c r="N88" s="11" t="s">
        <v>992</v>
      </c>
      <c r="O88" s="11"/>
      <c r="P88" s="11"/>
      <c r="Q88" t="str">
        <f>IF(LEN(A88)&gt;0,_xlfn.IFNA(_xlfn.XLOOKUP(A88,KOS!U:U,KOS!N:N),""),"")</f>
        <v/>
      </c>
      <c r="R88" t="str">
        <f>IF(LEN(A88)&gt;0,_xlfn.IFNA(_xlfn.XLOOKUP(A88,'KOS SR'!X:X,'KOS SR'!N:N),""),"")</f>
        <v/>
      </c>
      <c r="X88"/>
    </row>
    <row r="89" spans="1:24" ht="18.75" thickTop="1" thickBot="1" x14ac:dyDescent="0.35">
      <c r="A89" t="s">
        <v>841</v>
      </c>
      <c r="B89" t="s">
        <v>157</v>
      </c>
      <c r="C89" t="s">
        <v>160</v>
      </c>
      <c r="D89" t="s">
        <v>3</v>
      </c>
      <c r="E89" t="s">
        <v>161</v>
      </c>
      <c r="F89" t="s">
        <v>55</v>
      </c>
      <c r="G89" t="s">
        <v>162</v>
      </c>
      <c r="H89" s="11" t="s">
        <v>992</v>
      </c>
      <c r="I89" t="str">
        <f t="shared" si="3"/>
        <v>EHDSOrganisation- type</v>
      </c>
      <c r="J89" s="33" t="s">
        <v>992</v>
      </c>
      <c r="K89" t="str">
        <f>IF(LEN(A89)&gt;0,_xlfn.IFNA(_xlfn.XLOOKUP(A89,FHIR!M:M,FHIR!E:E),""),"")</f>
        <v/>
      </c>
      <c r="L89" s="11" t="s">
        <v>992</v>
      </c>
      <c r="M89" s="15" t="str">
        <f t="shared" si="4"/>
        <v/>
      </c>
      <c r="N89" s="11" t="s">
        <v>992</v>
      </c>
      <c r="O89" s="11"/>
      <c r="P89" s="11"/>
      <c r="Q89" t="str">
        <f>IF(LEN(A89)&gt;0,_xlfn.IFNA(_xlfn.XLOOKUP(A89,KOS!U:U,KOS!N:N),""),"")</f>
        <v/>
      </c>
      <c r="R89" t="str">
        <f>IF(LEN(A89)&gt;0,_xlfn.IFNA(_xlfn.XLOOKUP(A89,'KOS SR'!X:X,'KOS SR'!N:N),""),"")</f>
        <v/>
      </c>
      <c r="X89"/>
    </row>
    <row r="90" spans="1:24" ht="18.75" thickTop="1" thickBot="1" x14ac:dyDescent="0.35">
      <c r="A90" t="s">
        <v>842</v>
      </c>
      <c r="B90" t="s">
        <v>157</v>
      </c>
      <c r="C90" t="s">
        <v>98</v>
      </c>
      <c r="D90" t="s">
        <v>13</v>
      </c>
      <c r="E90" t="s">
        <v>163</v>
      </c>
      <c r="F90" t="s">
        <v>60</v>
      </c>
      <c r="G90" t="s">
        <v>95</v>
      </c>
      <c r="H90" s="11" t="s">
        <v>992</v>
      </c>
      <c r="I90" t="str">
        <f t="shared" si="3"/>
        <v>EHDSOrganisation- name</v>
      </c>
      <c r="J90" s="33" t="s">
        <v>992</v>
      </c>
      <c r="K90" t="str">
        <f>IF(LEN(A90)&gt;0,_xlfn.IFNA(_xlfn.XLOOKUP(A90,FHIR!M:M,FHIR!E:E),""),"")</f>
        <v/>
      </c>
      <c r="L90" s="11" t="s">
        <v>992</v>
      </c>
      <c r="M90" s="15" t="str">
        <f t="shared" si="4"/>
        <v/>
      </c>
      <c r="N90" s="11" t="s">
        <v>992</v>
      </c>
      <c r="O90" s="11"/>
      <c r="P90" s="11"/>
      <c r="Q90" t="str">
        <f>IF(LEN(A90)&gt;0,_xlfn.IFNA(_xlfn.XLOOKUP(A90,KOS!U:U,KOS!N:N),""),"")</f>
        <v/>
      </c>
      <c r="R90" t="str">
        <f>IF(LEN(A90)&gt;0,_xlfn.IFNA(_xlfn.XLOOKUP(A90,'KOS SR'!X:X,'KOS SR'!N:N),""),"")</f>
        <v/>
      </c>
      <c r="X90"/>
    </row>
    <row r="91" spans="1:24" ht="18.75" thickTop="1" thickBot="1" x14ac:dyDescent="0.35">
      <c r="A91" t="s">
        <v>843</v>
      </c>
      <c r="B91" t="s">
        <v>157</v>
      </c>
      <c r="C91" t="s">
        <v>108</v>
      </c>
      <c r="D91" t="s">
        <v>3</v>
      </c>
      <c r="E91" t="s">
        <v>164</v>
      </c>
      <c r="F91" t="s">
        <v>110</v>
      </c>
      <c r="G91" t="s">
        <v>95</v>
      </c>
      <c r="H91" s="11" t="s">
        <v>992</v>
      </c>
      <c r="I91" t="str">
        <f t="shared" si="3"/>
        <v>EHDSOrganisation- address</v>
      </c>
      <c r="J91" s="33" t="s">
        <v>992</v>
      </c>
      <c r="K91" t="str">
        <f>IF(LEN(A91)&gt;0,_xlfn.IFNA(_xlfn.XLOOKUP(A91,FHIR!M:M,FHIR!E:E),""),"")</f>
        <v/>
      </c>
      <c r="L91" s="11" t="s">
        <v>992</v>
      </c>
      <c r="M91" s="15" t="str">
        <f t="shared" si="4"/>
        <v/>
      </c>
      <c r="N91" s="11" t="s">
        <v>992</v>
      </c>
      <c r="O91" s="11"/>
      <c r="P91" s="11"/>
      <c r="Q91" t="str">
        <f>IF(LEN(A91)&gt;0,_xlfn.IFNA(_xlfn.XLOOKUP(A91,KOS!U:U,KOS!N:N),""),"")</f>
        <v/>
      </c>
      <c r="R91" t="str">
        <f>IF(LEN(A91)&gt;0,_xlfn.IFNA(_xlfn.XLOOKUP(A91,'KOS SR'!X:X,'KOS SR'!N:N),""),"")</f>
        <v/>
      </c>
      <c r="X91"/>
    </row>
    <row r="92" spans="1:24" ht="18.75" thickTop="1" thickBot="1" x14ac:dyDescent="0.35">
      <c r="A92" t="s">
        <v>844</v>
      </c>
      <c r="B92" t="s">
        <v>157</v>
      </c>
      <c r="C92" t="s">
        <v>111</v>
      </c>
      <c r="D92" t="s">
        <v>3</v>
      </c>
      <c r="E92" t="s">
        <v>165</v>
      </c>
      <c r="F92" t="s">
        <v>113</v>
      </c>
      <c r="G92" t="s">
        <v>95</v>
      </c>
      <c r="H92" s="11" t="s">
        <v>992</v>
      </c>
      <c r="I92" t="str">
        <f t="shared" si="3"/>
        <v>EHDSOrganisation- telecom</v>
      </c>
      <c r="J92" s="33" t="s">
        <v>992</v>
      </c>
      <c r="K92" t="str">
        <f>IF(LEN(A92)&gt;0,_xlfn.IFNA(_xlfn.XLOOKUP(A92,FHIR!M:M,FHIR!E:E),""),"")</f>
        <v/>
      </c>
      <c r="L92" s="11" t="s">
        <v>992</v>
      </c>
      <c r="M92" s="15" t="str">
        <f t="shared" si="4"/>
        <v/>
      </c>
      <c r="N92" s="11" t="s">
        <v>992</v>
      </c>
      <c r="O92" s="11"/>
      <c r="P92" s="11"/>
      <c r="Q92" t="str">
        <f>IF(LEN(A92)&gt;0,_xlfn.IFNA(_xlfn.XLOOKUP(A92,KOS!U:U,KOS!N:N),""),"")</f>
        <v/>
      </c>
      <c r="R92" t="str">
        <f>IF(LEN(A92)&gt;0,_xlfn.IFNA(_xlfn.XLOOKUP(A92,'KOS SR'!X:X,'KOS SR'!N:N),""),"")</f>
        <v/>
      </c>
      <c r="X92"/>
    </row>
    <row r="93" spans="1:24" ht="18.75" thickTop="1" thickBot="1" x14ac:dyDescent="0.35">
      <c r="A93" t="s">
        <v>845</v>
      </c>
      <c r="B93" t="s">
        <v>157</v>
      </c>
      <c r="C93" t="s">
        <v>166</v>
      </c>
      <c r="D93" t="s">
        <v>13</v>
      </c>
      <c r="E93" t="s">
        <v>167</v>
      </c>
      <c r="F93" t="s">
        <v>52</v>
      </c>
      <c r="G93" t="s">
        <v>95</v>
      </c>
      <c r="H93" s="11" t="s">
        <v>992</v>
      </c>
      <c r="I93" t="str">
        <f t="shared" si="3"/>
        <v>EHDSOrganisation- partOf</v>
      </c>
      <c r="J93" s="33" t="s">
        <v>992</v>
      </c>
      <c r="K93" t="str">
        <f>IF(LEN(A93)&gt;0,_xlfn.IFNA(_xlfn.XLOOKUP(A93,FHIR!M:M,FHIR!E:E),""),"")</f>
        <v/>
      </c>
      <c r="L93" s="11" t="s">
        <v>992</v>
      </c>
      <c r="M93" s="15" t="str">
        <f t="shared" si="4"/>
        <v/>
      </c>
      <c r="N93" s="11" t="s">
        <v>992</v>
      </c>
      <c r="O93" s="11"/>
      <c r="P93" s="11"/>
      <c r="Q93" t="str">
        <f>IF(LEN(A93)&gt;0,_xlfn.IFNA(_xlfn.XLOOKUP(A93,KOS!U:U,KOS!N:N),""),"")</f>
        <v/>
      </c>
      <c r="R93" t="str">
        <f>IF(LEN(A93)&gt;0,_xlfn.IFNA(_xlfn.XLOOKUP(A93,'KOS SR'!X:X,'KOS SR'!N:N),""),"")</f>
        <v/>
      </c>
      <c r="X93"/>
    </row>
    <row r="94" spans="1:24" ht="18.75" thickTop="1" thickBot="1" x14ac:dyDescent="0.35">
      <c r="A94" t="s">
        <v>649</v>
      </c>
      <c r="B94" t="s">
        <v>168</v>
      </c>
      <c r="C94" t="s">
        <v>2</v>
      </c>
      <c r="D94" t="s">
        <v>3</v>
      </c>
      <c r="E94" t="s">
        <v>169</v>
      </c>
      <c r="F94" t="s">
        <v>2</v>
      </c>
      <c r="G94" t="s">
        <v>95</v>
      </c>
      <c r="H94" s="11" t="s">
        <v>992</v>
      </c>
      <c r="I94" t="str">
        <f t="shared" si="3"/>
        <v xml:space="preserve">EHDSServiceRequest </v>
      </c>
      <c r="J94" s="33" t="s">
        <v>992</v>
      </c>
      <c r="K94" t="str">
        <f>IF(LEN(A94)&gt;0,_xlfn.IFNA(_xlfn.XLOOKUP(A94,FHIR!M:M,FHIR!E:E),""),"")</f>
        <v/>
      </c>
      <c r="L94" s="11" t="s">
        <v>992</v>
      </c>
      <c r="M94" s="15" t="str">
        <f t="shared" si="4"/>
        <v/>
      </c>
      <c r="N94" s="11" t="s">
        <v>992</v>
      </c>
      <c r="O94" s="11"/>
      <c r="P94" s="11"/>
      <c r="Q94" t="str">
        <f>IF(LEN(A94)&gt;0,_xlfn.IFNA(_xlfn.XLOOKUP(A94,KOS!U:U,KOS!N:N),""),"")</f>
        <v/>
      </c>
      <c r="R94" t="str">
        <f>IF(LEN(A94)&gt;0,_xlfn.IFNA(_xlfn.XLOOKUP(A94,'KOS SR'!X:X,'KOS SR'!N:N),""),"")</f>
        <v/>
      </c>
      <c r="X94"/>
    </row>
    <row r="95" spans="1:24" ht="18.75" thickTop="1" thickBot="1" x14ac:dyDescent="0.35">
      <c r="A95" t="s">
        <v>650</v>
      </c>
      <c r="B95" t="s">
        <v>168</v>
      </c>
      <c r="C95" t="s">
        <v>4</v>
      </c>
      <c r="D95" t="s">
        <v>5</v>
      </c>
      <c r="E95" t="s">
        <v>170</v>
      </c>
      <c r="F95" t="s">
        <v>48</v>
      </c>
      <c r="G95" t="s">
        <v>95</v>
      </c>
      <c r="H95" s="11" t="s">
        <v>992</v>
      </c>
      <c r="I95" t="str">
        <f t="shared" si="3"/>
        <v>EHDSServiceRequest- header</v>
      </c>
      <c r="J95" s="33" t="s">
        <v>992</v>
      </c>
      <c r="K95" t="str">
        <f>IF(LEN(A95)&gt;0,_xlfn.IFNA(_xlfn.XLOOKUP(A95,FHIR!M:M,FHIR!E:E),""),"")</f>
        <v/>
      </c>
      <c r="L95" s="11" t="s">
        <v>992</v>
      </c>
      <c r="M95" s="15" t="str">
        <f t="shared" si="4"/>
        <v/>
      </c>
      <c r="N95" s="11" t="s">
        <v>992</v>
      </c>
      <c r="O95" s="11"/>
      <c r="P95" s="11"/>
      <c r="Q95" t="str">
        <f>IF(LEN(A95)&gt;0,_xlfn.IFNA(_xlfn.XLOOKUP(A95,KOS!U:U,KOS!N:N),""),"")</f>
        <v/>
      </c>
      <c r="R95" t="str">
        <f>IF(LEN(A95)&gt;0,_xlfn.IFNA(_xlfn.XLOOKUP(A95,'KOS SR'!X:X,'KOS SR'!N:N),""),"")</f>
        <v/>
      </c>
      <c r="X95"/>
    </row>
    <row r="96" spans="1:24" ht="18.75" thickTop="1" thickBot="1" x14ac:dyDescent="0.35">
      <c r="A96" t="s">
        <v>651</v>
      </c>
      <c r="B96" t="s">
        <v>168</v>
      </c>
      <c r="C96" t="s">
        <v>6</v>
      </c>
      <c r="D96" t="s">
        <v>5</v>
      </c>
      <c r="E96" t="s">
        <v>171</v>
      </c>
      <c r="F96" t="s">
        <v>49</v>
      </c>
      <c r="G96" t="s">
        <v>95</v>
      </c>
      <c r="H96" s="11" t="s">
        <v>992</v>
      </c>
      <c r="I96" t="str">
        <f t="shared" si="3"/>
        <v>EHDSServiceRequest- header.subject</v>
      </c>
      <c r="J96" s="33" t="s">
        <v>992</v>
      </c>
      <c r="K96" t="str">
        <f>IF(LEN(A96)&gt;0,_xlfn.IFNA(_xlfn.XLOOKUP(A96,FHIR!M:M,FHIR!E:E),""),"")</f>
        <v>ServiceRequest-Order.subject</v>
      </c>
      <c r="L96" s="11" t="s">
        <v>992</v>
      </c>
      <c r="M96" s="15" t="str">
        <f t="shared" si="4"/>
        <v/>
      </c>
      <c r="N96" s="11" t="s">
        <v>992</v>
      </c>
      <c r="O96" s="11"/>
      <c r="P96" s="11"/>
      <c r="Q96" t="str">
        <f>IF(LEN(A96)&gt;0,_xlfn.IFNA(_xlfn.XLOOKUP(A96,KOS!U:U,KOS!N:N),""),"")</f>
        <v/>
      </c>
      <c r="R96" t="str">
        <f>IF(LEN(A96)&gt;0,_xlfn.IFNA(_xlfn.XLOOKUP(A96,'KOS SR'!X:X,'KOS SR'!N:N),""),"")</f>
        <v/>
      </c>
      <c r="X96"/>
    </row>
    <row r="97" spans="1:24" ht="18.75" thickTop="1" thickBot="1" x14ac:dyDescent="0.35">
      <c r="A97" t="s">
        <v>652</v>
      </c>
      <c r="B97" t="s">
        <v>168</v>
      </c>
      <c r="C97" t="s">
        <v>7</v>
      </c>
      <c r="D97" t="s">
        <v>3</v>
      </c>
      <c r="E97" t="s">
        <v>172</v>
      </c>
      <c r="F97" t="s">
        <v>50</v>
      </c>
      <c r="G97" t="s">
        <v>95</v>
      </c>
      <c r="H97" s="11" t="s">
        <v>992</v>
      </c>
      <c r="I97" t="str">
        <f t="shared" si="3"/>
        <v>EHDSServiceRequest- header.identifier</v>
      </c>
      <c r="J97" s="33" t="s">
        <v>992</v>
      </c>
      <c r="K97" t="str">
        <f>IF(LEN(A97)&gt;0,_xlfn.IFNA(_xlfn.XLOOKUP(A97,FHIR!M:M,FHIR!E:E),""),"")</f>
        <v>ServiceRequest-Order.identifier</v>
      </c>
      <c r="L97" s="11" t="s">
        <v>992</v>
      </c>
      <c r="M97" s="15" t="str">
        <f t="shared" si="4"/>
        <v>General Study-AccessionNumber</v>
      </c>
      <c r="N97" s="11" t="s">
        <v>992</v>
      </c>
      <c r="O97" s="11"/>
      <c r="P97" s="11"/>
      <c r="Q97" t="str">
        <f>IF(LEN(A97)&gt;0,_xlfn.IFNA(_xlfn.XLOOKUP(A97,KOS!U:U,KOS!N:N),""),"")</f>
        <v>General Study-AccessionNumber</v>
      </c>
      <c r="R97" t="str">
        <f>IF(LEN(A97)&gt;0,_xlfn.IFNA(_xlfn.XLOOKUP(A97,'KOS SR'!X:X,'KOS SR'!N:N),""),"")</f>
        <v/>
      </c>
      <c r="X97"/>
    </row>
    <row r="98" spans="1:24" ht="18.75" thickTop="1" thickBot="1" x14ac:dyDescent="0.35">
      <c r="A98" t="s">
        <v>653</v>
      </c>
      <c r="B98" t="s">
        <v>168</v>
      </c>
      <c r="C98" t="s">
        <v>677</v>
      </c>
      <c r="D98" t="s">
        <v>3</v>
      </c>
      <c r="E98" t="s">
        <v>173</v>
      </c>
      <c r="F98" t="s">
        <v>51</v>
      </c>
      <c r="G98" t="s">
        <v>95</v>
      </c>
      <c r="H98" s="11" t="s">
        <v>992</v>
      </c>
      <c r="I98" t="str">
        <f t="shared" si="3"/>
        <v>EHDSServiceRequest- header.author[EHDSHealthProcessional]</v>
      </c>
      <c r="J98" s="33" t="s">
        <v>992</v>
      </c>
      <c r="K98" t="str">
        <f>IF(LEN(A98)&gt;0,_xlfn.IFNA(_xlfn.XLOOKUP(A98,FHIR!M:M,FHIR!E:E),""),"")</f>
        <v>ServiceRequest-Order.requester</v>
      </c>
      <c r="L98" s="11" t="s">
        <v>992</v>
      </c>
      <c r="M98" s="15" t="str">
        <f t="shared" si="4"/>
        <v/>
      </c>
      <c r="N98" s="11" t="s">
        <v>992</v>
      </c>
      <c r="O98" s="11"/>
      <c r="P98" s="11"/>
      <c r="Q98" t="str">
        <f>IF(LEN(A98)&gt;0,_xlfn.IFNA(_xlfn.XLOOKUP(A98,KOS!U:U,KOS!N:N),""),"")</f>
        <v/>
      </c>
      <c r="R98" t="str">
        <f>IF(LEN(A98)&gt;0,_xlfn.IFNA(_xlfn.XLOOKUP(A98,'KOS SR'!X:X,'KOS SR'!N:N),""),"")</f>
        <v/>
      </c>
      <c r="X98"/>
    </row>
    <row r="99" spans="1:24" ht="18.75" thickTop="1" thickBot="1" x14ac:dyDescent="0.35">
      <c r="A99" t="s">
        <v>654</v>
      </c>
      <c r="B99" t="s">
        <v>168</v>
      </c>
      <c r="C99" t="s">
        <v>605</v>
      </c>
      <c r="D99" t="s">
        <v>3</v>
      </c>
      <c r="E99" t="s">
        <v>173</v>
      </c>
      <c r="F99" t="s">
        <v>52</v>
      </c>
      <c r="G99" t="s">
        <v>95</v>
      </c>
      <c r="H99" s="11" t="s">
        <v>992</v>
      </c>
      <c r="I99" t="str">
        <f t="shared" si="3"/>
        <v>EHDSServiceRequest- header.author[EHDSOrganization]</v>
      </c>
      <c r="J99" s="33" t="s">
        <v>992</v>
      </c>
      <c r="K99" t="str">
        <f>IF(LEN(A99)&gt;0,_xlfn.IFNA(_xlfn.XLOOKUP(A99,FHIR!M:M,FHIR!E:E),""),"")</f>
        <v>ServiceRequest-Order.requester</v>
      </c>
      <c r="L99" s="11" t="s">
        <v>992</v>
      </c>
      <c r="M99" s="15" t="str">
        <f t="shared" si="4"/>
        <v/>
      </c>
      <c r="N99" s="11" t="s">
        <v>992</v>
      </c>
      <c r="O99" s="11"/>
      <c r="P99" s="11"/>
      <c r="Q99" t="str">
        <f>IF(LEN(A99)&gt;0,_xlfn.IFNA(_xlfn.XLOOKUP(A99,KOS!U:U,KOS!N:N),""),"")</f>
        <v/>
      </c>
      <c r="R99" t="str">
        <f>IF(LEN(A99)&gt;0,_xlfn.IFNA(_xlfn.XLOOKUP(A99,'KOS SR'!X:X,'KOS SR'!N:N),""),"")</f>
        <v/>
      </c>
      <c r="X99"/>
    </row>
    <row r="100" spans="1:24" ht="18.75" thickTop="1" thickBot="1" x14ac:dyDescent="0.35">
      <c r="A100" t="s">
        <v>655</v>
      </c>
      <c r="B100" t="s">
        <v>168</v>
      </c>
      <c r="C100" t="s">
        <v>606</v>
      </c>
      <c r="D100" t="s">
        <v>3</v>
      </c>
      <c r="E100" t="s">
        <v>173</v>
      </c>
      <c r="F100" t="s">
        <v>53</v>
      </c>
      <c r="G100" t="s">
        <v>95</v>
      </c>
      <c r="H100" s="11" t="s">
        <v>992</v>
      </c>
      <c r="I100" t="str">
        <f t="shared" si="3"/>
        <v>EHDSServiceRequest- header.author[EHDSDevice]</v>
      </c>
      <c r="J100" s="33" t="s">
        <v>992</v>
      </c>
      <c r="K100" t="str">
        <f>IF(LEN(A100)&gt;0,_xlfn.IFNA(_xlfn.XLOOKUP(A100,FHIR!M:M,FHIR!E:E),""),"")</f>
        <v>ServiceRequest-Order.requester</v>
      </c>
      <c r="L100" s="11" t="s">
        <v>992</v>
      </c>
      <c r="M100" s="15" t="str">
        <f t="shared" si="4"/>
        <v/>
      </c>
      <c r="N100" s="11" t="s">
        <v>992</v>
      </c>
      <c r="O100" s="11"/>
      <c r="P100" s="11"/>
      <c r="Q100" t="str">
        <f>IF(LEN(A100)&gt;0,_xlfn.IFNA(_xlfn.XLOOKUP(A100,KOS!U:U,KOS!N:N),""),"")</f>
        <v/>
      </c>
      <c r="R100" t="str">
        <f>IF(LEN(A100)&gt;0,_xlfn.IFNA(_xlfn.XLOOKUP(A100,'KOS SR'!X:X,'KOS SR'!N:N),""),"")</f>
        <v/>
      </c>
      <c r="X100"/>
    </row>
    <row r="101" spans="1:24" ht="18.75" thickTop="1" thickBot="1" x14ac:dyDescent="0.35">
      <c r="A101" t="s">
        <v>656</v>
      </c>
      <c r="B101" t="s">
        <v>168</v>
      </c>
      <c r="C101" t="s">
        <v>10</v>
      </c>
      <c r="D101" t="s">
        <v>13</v>
      </c>
      <c r="E101" t="s">
        <v>174</v>
      </c>
      <c r="F101" t="s">
        <v>54</v>
      </c>
      <c r="G101" t="s">
        <v>95</v>
      </c>
      <c r="H101" s="11" t="s">
        <v>992</v>
      </c>
      <c r="I101" t="str">
        <f t="shared" si="3"/>
        <v>EHDSServiceRequest- header.date</v>
      </c>
      <c r="J101" s="33" t="s">
        <v>992</v>
      </c>
      <c r="K101" t="str">
        <f>IF(LEN(A101)&gt;0,_xlfn.IFNA(_xlfn.XLOOKUP(A101,FHIR!M:M,FHIR!E:E),""),"")</f>
        <v>ServiceRequest-Order.authoredOn</v>
      </c>
      <c r="L101" s="11" t="s">
        <v>992</v>
      </c>
      <c r="M101" s="15" t="str">
        <f t="shared" si="4"/>
        <v/>
      </c>
      <c r="N101" s="11" t="s">
        <v>992</v>
      </c>
      <c r="O101" s="11"/>
      <c r="P101" s="11"/>
      <c r="Q101" t="str">
        <f>IF(LEN(A101)&gt;0,_xlfn.IFNA(_xlfn.XLOOKUP(A101,KOS!U:U,KOS!N:N),""),"")</f>
        <v/>
      </c>
      <c r="R101" t="str">
        <f>IF(LEN(A101)&gt;0,_xlfn.IFNA(_xlfn.XLOOKUP(A101,'KOS SR'!X:X,'KOS SR'!N:N),""),"")</f>
        <v/>
      </c>
      <c r="X101"/>
    </row>
    <row r="102" spans="1:24" ht="18.75" thickTop="1" thickBot="1" x14ac:dyDescent="0.35">
      <c r="A102" t="s">
        <v>657</v>
      </c>
      <c r="B102" t="s">
        <v>168</v>
      </c>
      <c r="C102" t="s">
        <v>11</v>
      </c>
      <c r="D102" t="s">
        <v>5</v>
      </c>
      <c r="E102" t="s">
        <v>175</v>
      </c>
      <c r="F102" t="s">
        <v>55</v>
      </c>
      <c r="G102" t="s">
        <v>95</v>
      </c>
      <c r="H102" s="11" t="s">
        <v>992</v>
      </c>
      <c r="I102" t="str">
        <f t="shared" si="3"/>
        <v>EHDSServiceRequest- header.status</v>
      </c>
      <c r="J102" s="33" t="s">
        <v>992</v>
      </c>
      <c r="K102" t="str">
        <f>IF(LEN(A102)&gt;0,_xlfn.IFNA(_xlfn.XLOOKUP(A102,FHIR!M:M,FHIR!E:E),""),"")</f>
        <v>ServiceRequest-Order.status</v>
      </c>
      <c r="L102" s="11" t="s">
        <v>992</v>
      </c>
      <c r="M102" s="15" t="str">
        <f t="shared" si="4"/>
        <v/>
      </c>
      <c r="N102" s="11" t="s">
        <v>992</v>
      </c>
      <c r="O102" s="11"/>
      <c r="P102" s="11"/>
      <c r="Q102" t="str">
        <f>IF(LEN(A102)&gt;0,_xlfn.IFNA(_xlfn.XLOOKUP(A102,KOS!U:U,KOS!N:N),""),"")</f>
        <v/>
      </c>
      <c r="R102" t="str">
        <f>IF(LEN(A102)&gt;0,_xlfn.IFNA(_xlfn.XLOOKUP(A102,'KOS SR'!X:X,'KOS SR'!N:N),""),"")</f>
        <v/>
      </c>
      <c r="X102"/>
    </row>
    <row r="103" spans="1:24" ht="18.75" thickTop="1" thickBot="1" x14ac:dyDescent="0.35">
      <c r="A103" t="s">
        <v>658</v>
      </c>
      <c r="B103" t="s">
        <v>168</v>
      </c>
      <c r="C103" t="s">
        <v>12</v>
      </c>
      <c r="D103" t="s">
        <v>13</v>
      </c>
      <c r="E103" t="s">
        <v>176</v>
      </c>
      <c r="F103" t="s">
        <v>55</v>
      </c>
      <c r="G103" t="s">
        <v>177</v>
      </c>
      <c r="H103" s="11" t="s">
        <v>992</v>
      </c>
      <c r="I103" t="str">
        <f t="shared" si="3"/>
        <v>EHDSServiceRequest- header.language</v>
      </c>
      <c r="J103" s="33" t="s">
        <v>992</v>
      </c>
      <c r="K103" t="str">
        <f>IF(LEN(A103)&gt;0,_xlfn.IFNA(_xlfn.XLOOKUP(A103,FHIR!M:M,FHIR!E:E),""),"")</f>
        <v>ServiceRequest-Order.language</v>
      </c>
      <c r="L103" s="11" t="s">
        <v>992</v>
      </c>
      <c r="M103" s="15" t="str">
        <f t="shared" si="4"/>
        <v/>
      </c>
      <c r="N103" s="11" t="s">
        <v>992</v>
      </c>
      <c r="O103" s="11"/>
      <c r="P103" s="11"/>
      <c r="Q103" t="str">
        <f>IF(LEN(A103)&gt;0,_xlfn.IFNA(_xlfn.XLOOKUP(A103,KOS!U:U,KOS!N:N),""),"")</f>
        <v/>
      </c>
      <c r="R103" t="str">
        <f>IF(LEN(A103)&gt;0,_xlfn.IFNA(_xlfn.XLOOKUP(A103,'KOS SR'!X:X,'KOS SR'!N:N),""),"")</f>
        <v/>
      </c>
      <c r="X103"/>
    </row>
    <row r="104" spans="1:24" ht="18.75" thickTop="1" thickBot="1" x14ac:dyDescent="0.35">
      <c r="A104" t="s">
        <v>659</v>
      </c>
      <c r="B104" t="s">
        <v>168</v>
      </c>
      <c r="C104" t="s">
        <v>21</v>
      </c>
      <c r="D104" t="s">
        <v>13</v>
      </c>
      <c r="E104" t="s">
        <v>178</v>
      </c>
      <c r="F104" t="s">
        <v>60</v>
      </c>
      <c r="G104" t="s">
        <v>95</v>
      </c>
      <c r="H104" s="11" t="s">
        <v>992</v>
      </c>
      <c r="I104" t="str">
        <f t="shared" si="3"/>
        <v>EHDSServiceRequest- description</v>
      </c>
      <c r="J104" s="33" t="s">
        <v>992</v>
      </c>
      <c r="K104" t="str">
        <f>IF(LEN(A104)&gt;0,_xlfn.IFNA(_xlfn.XLOOKUP(A104,FHIR!M:M,FHIR!E:E),""),"")</f>
        <v>ServiceRequest-Order.description</v>
      </c>
      <c r="L104" s="11" t="s">
        <v>992</v>
      </c>
      <c r="M104" s="15" t="str">
        <f t="shared" si="4"/>
        <v/>
      </c>
      <c r="N104" s="11" t="s">
        <v>992</v>
      </c>
      <c r="O104" s="11"/>
      <c r="P104" s="11"/>
      <c r="Q104" t="str">
        <f>IF(LEN(A104)&gt;0,_xlfn.IFNA(_xlfn.XLOOKUP(A104,KOS!U:U,KOS!N:N),""),"")</f>
        <v/>
      </c>
      <c r="R104" t="str">
        <f>IF(LEN(A104)&gt;0,_xlfn.IFNA(_xlfn.XLOOKUP(A104,'KOS SR'!X:X,'KOS SR'!N:N),""),"")</f>
        <v/>
      </c>
      <c r="X104"/>
    </row>
    <row r="105" spans="1:24" ht="18.75" thickTop="1" thickBot="1" x14ac:dyDescent="0.35">
      <c r="A105" t="s">
        <v>660</v>
      </c>
      <c r="B105" t="s">
        <v>168</v>
      </c>
      <c r="C105" t="s">
        <v>179</v>
      </c>
      <c r="D105" t="s">
        <v>13</v>
      </c>
      <c r="E105" t="s">
        <v>180</v>
      </c>
      <c r="F105" t="s">
        <v>55</v>
      </c>
      <c r="G105" t="s">
        <v>181</v>
      </c>
      <c r="H105" s="11" t="s">
        <v>992</v>
      </c>
      <c r="I105" t="str">
        <f t="shared" si="3"/>
        <v>EHDSServiceRequest- code</v>
      </c>
      <c r="J105" s="33" t="s">
        <v>992</v>
      </c>
      <c r="K105" t="str">
        <f>IF(LEN(A105)&gt;0,_xlfn.IFNA(_xlfn.XLOOKUP(A105,FHIR!M:M,FHIR!E:E),""),"")</f>
        <v>ServiceRequest-Order.code</v>
      </c>
      <c r="L105" s="11" t="s">
        <v>992</v>
      </c>
      <c r="M105" s="15" t="str">
        <f t="shared" si="4"/>
        <v/>
      </c>
      <c r="N105" s="11" t="s">
        <v>992</v>
      </c>
      <c r="O105" s="11"/>
      <c r="P105" s="11"/>
      <c r="Q105" t="str">
        <f>IF(LEN(A105)&gt;0,_xlfn.IFNA(_xlfn.XLOOKUP(A105,KOS!U:U,KOS!N:N),""),"")</f>
        <v/>
      </c>
      <c r="R105" t="str">
        <f>IF(LEN(A105)&gt;0,_xlfn.IFNA(_xlfn.XLOOKUP(A105,'KOS SR'!X:X,'KOS SR'!N:N),""),"")</f>
        <v/>
      </c>
      <c r="X105"/>
    </row>
    <row r="106" spans="1:24" ht="18.75" thickTop="1" thickBot="1" x14ac:dyDescent="0.35">
      <c r="A106" t="s">
        <v>661</v>
      </c>
      <c r="B106" t="s">
        <v>168</v>
      </c>
      <c r="C106" t="s">
        <v>182</v>
      </c>
      <c r="D106" t="s">
        <v>13</v>
      </c>
      <c r="E106" t="s">
        <v>183</v>
      </c>
      <c r="F106" t="s">
        <v>184</v>
      </c>
      <c r="G106" t="s">
        <v>95</v>
      </c>
      <c r="H106" s="11" t="s">
        <v>992</v>
      </c>
      <c r="I106" t="str">
        <f t="shared" si="3"/>
        <v>EHDSServiceRequest- quantity</v>
      </c>
      <c r="J106" s="33" t="s">
        <v>992</v>
      </c>
      <c r="K106" t="str">
        <f>IF(LEN(A106)&gt;0,_xlfn.IFNA(_xlfn.XLOOKUP(A106,FHIR!M:M,FHIR!E:E),""),"")</f>
        <v>ServiceRequest-Order.quantity</v>
      </c>
      <c r="L106" s="11" t="s">
        <v>992</v>
      </c>
      <c r="M106" s="15" t="str">
        <f t="shared" si="4"/>
        <v/>
      </c>
      <c r="N106" s="11" t="s">
        <v>992</v>
      </c>
      <c r="O106" s="11"/>
      <c r="P106" s="11"/>
      <c r="Q106" t="str">
        <f>IF(LEN(A106)&gt;0,_xlfn.IFNA(_xlfn.XLOOKUP(A106,KOS!U:U,KOS!N:N),""),"")</f>
        <v/>
      </c>
      <c r="R106" t="str">
        <f>IF(LEN(A106)&gt;0,_xlfn.IFNA(_xlfn.XLOOKUP(A106,'KOS SR'!X:X,'KOS SR'!N:N),""),"")</f>
        <v/>
      </c>
      <c r="X106"/>
    </row>
    <row r="107" spans="1:24" ht="18.75" thickTop="1" thickBot="1" x14ac:dyDescent="0.35">
      <c r="A107" t="s">
        <v>662</v>
      </c>
      <c r="B107" t="s">
        <v>168</v>
      </c>
      <c r="C107" t="s">
        <v>15</v>
      </c>
      <c r="D107" t="s">
        <v>3</v>
      </c>
      <c r="E107" t="s">
        <v>185</v>
      </c>
      <c r="F107" t="s">
        <v>56</v>
      </c>
      <c r="G107" t="s">
        <v>95</v>
      </c>
      <c r="H107" s="11" t="s">
        <v>992</v>
      </c>
      <c r="I107" t="str">
        <f t="shared" si="3"/>
        <v>EHDSServiceRequest- bodySite</v>
      </c>
      <c r="J107" s="33" t="s">
        <v>992</v>
      </c>
      <c r="K107" t="str">
        <f>IF(LEN(A107)&gt;0,_xlfn.IFNA(_xlfn.XLOOKUP(A107,FHIR!M:M,FHIR!E:E),""),"")</f>
        <v>ServiceRequest-Order.bodySite</v>
      </c>
      <c r="L107" s="11" t="s">
        <v>992</v>
      </c>
      <c r="M107" s="15" t="str">
        <f t="shared" si="4"/>
        <v/>
      </c>
      <c r="N107" s="11" t="s">
        <v>992</v>
      </c>
      <c r="O107" s="11"/>
      <c r="P107" s="11"/>
      <c r="Q107" t="str">
        <f>IF(LEN(A107)&gt;0,_xlfn.IFNA(_xlfn.XLOOKUP(A107,KOS!U:U,KOS!N:N),""),"")</f>
        <v/>
      </c>
      <c r="R107" t="str">
        <f>IF(LEN(A107)&gt;0,_xlfn.IFNA(_xlfn.XLOOKUP(A107,'KOS SR'!X:X,'KOS SR'!N:N),""),"")</f>
        <v/>
      </c>
      <c r="X107"/>
    </row>
    <row r="108" spans="1:24" ht="18.75" thickTop="1" thickBot="1" x14ac:dyDescent="0.35">
      <c r="A108" t="s">
        <v>663</v>
      </c>
      <c r="B108" t="s">
        <v>168</v>
      </c>
      <c r="C108" t="s">
        <v>186</v>
      </c>
      <c r="D108" t="s">
        <v>3</v>
      </c>
      <c r="E108" t="s">
        <v>187</v>
      </c>
      <c r="F108" t="s">
        <v>188</v>
      </c>
      <c r="G108" t="s">
        <v>189</v>
      </c>
      <c r="H108" s="11" t="s">
        <v>992</v>
      </c>
      <c r="I108" t="str">
        <f t="shared" si="3"/>
        <v>EHDSServiceRequest- reason[x]</v>
      </c>
      <c r="J108" s="33" t="s">
        <v>992</v>
      </c>
      <c r="K108" t="str">
        <f>IF(LEN(A108)&gt;0,_xlfn.IFNA(_xlfn.XLOOKUP(A108,FHIR!M:M,FHIR!E:E),""),"")</f>
        <v>ServiceRequest-Order.reasonReference</v>
      </c>
      <c r="L108" s="11" t="s">
        <v>992</v>
      </c>
      <c r="M108" s="15" t="str">
        <f t="shared" si="4"/>
        <v/>
      </c>
      <c r="N108" s="11" t="s">
        <v>992</v>
      </c>
      <c r="O108" s="11"/>
      <c r="P108" s="11"/>
      <c r="Q108" t="str">
        <f>IF(LEN(A108)&gt;0,_xlfn.IFNA(_xlfn.XLOOKUP(A108,KOS!U:U,KOS!N:N),""),"")</f>
        <v/>
      </c>
      <c r="R108" t="str">
        <f>IF(LEN(A108)&gt;0,_xlfn.IFNA(_xlfn.XLOOKUP(A108,'KOS SR'!X:X,'KOS SR'!N:N),""),"")</f>
        <v/>
      </c>
      <c r="X108"/>
    </row>
    <row r="109" spans="1:24" ht="18.75" thickTop="1" thickBot="1" x14ac:dyDescent="0.35">
      <c r="A109" t="s">
        <v>664</v>
      </c>
      <c r="B109" t="s">
        <v>168</v>
      </c>
      <c r="C109" t="s">
        <v>186</v>
      </c>
      <c r="D109" t="s">
        <v>3</v>
      </c>
      <c r="E109" t="s">
        <v>187</v>
      </c>
      <c r="F109" t="s">
        <v>190</v>
      </c>
      <c r="G109" t="s">
        <v>189</v>
      </c>
      <c r="H109" s="11" t="s">
        <v>992</v>
      </c>
      <c r="I109" t="str">
        <f t="shared" si="3"/>
        <v>EHDSServiceRequest- reason[x]</v>
      </c>
      <c r="J109" s="33" t="s">
        <v>992</v>
      </c>
      <c r="K109" t="str">
        <f>IF(LEN(A109)&gt;0,_xlfn.IFNA(_xlfn.XLOOKUP(A109,FHIR!M:M,FHIR!E:E),""),"")</f>
        <v>ServiceRequest-Order.reasonReference</v>
      </c>
      <c r="L109" s="11" t="s">
        <v>992</v>
      </c>
      <c r="M109" s="15" t="str">
        <f t="shared" si="4"/>
        <v/>
      </c>
      <c r="N109" s="11" t="s">
        <v>992</v>
      </c>
      <c r="O109" s="11"/>
      <c r="P109" s="11"/>
      <c r="Q109" t="str">
        <f>IF(LEN(A109)&gt;0,_xlfn.IFNA(_xlfn.XLOOKUP(A109,KOS!U:U,KOS!N:N),""),"")</f>
        <v/>
      </c>
      <c r="R109" t="str">
        <f>IF(LEN(A109)&gt;0,_xlfn.IFNA(_xlfn.XLOOKUP(A109,'KOS SR'!X:X,'KOS SR'!N:N),""),"")</f>
        <v/>
      </c>
      <c r="X109"/>
    </row>
    <row r="110" spans="1:24" ht="18.75" thickTop="1" thickBot="1" x14ac:dyDescent="0.35">
      <c r="A110" t="s">
        <v>665</v>
      </c>
      <c r="B110" t="s">
        <v>168</v>
      </c>
      <c r="C110" t="s">
        <v>186</v>
      </c>
      <c r="D110" t="s">
        <v>3</v>
      </c>
      <c r="E110" t="s">
        <v>187</v>
      </c>
      <c r="F110" t="s">
        <v>191</v>
      </c>
      <c r="G110" t="s">
        <v>189</v>
      </c>
      <c r="H110" s="11" t="s">
        <v>992</v>
      </c>
      <c r="I110" t="str">
        <f t="shared" si="3"/>
        <v>EHDSServiceRequest- reason[x]</v>
      </c>
      <c r="J110" s="33" t="s">
        <v>992</v>
      </c>
      <c r="K110" t="str">
        <f>IF(LEN(A110)&gt;0,_xlfn.IFNA(_xlfn.XLOOKUP(A110,FHIR!M:M,FHIR!E:E),""),"")</f>
        <v>ServiceRequest-Order.reasonReference</v>
      </c>
      <c r="L110" s="11" t="s">
        <v>992</v>
      </c>
      <c r="M110" s="15" t="str">
        <f t="shared" si="4"/>
        <v/>
      </c>
      <c r="N110" s="11" t="s">
        <v>992</v>
      </c>
      <c r="O110" s="11"/>
      <c r="P110" s="11"/>
      <c r="Q110" t="str">
        <f>IF(LEN(A110)&gt;0,_xlfn.IFNA(_xlfn.XLOOKUP(A110,KOS!U:U,KOS!N:N),""),"")</f>
        <v/>
      </c>
      <c r="R110" t="str">
        <f>IF(LEN(A110)&gt;0,_xlfn.IFNA(_xlfn.XLOOKUP(A110,'KOS SR'!X:X,'KOS SR'!N:N),""),"")</f>
        <v/>
      </c>
      <c r="X110"/>
    </row>
    <row r="111" spans="1:24" ht="18.75" thickTop="1" thickBot="1" x14ac:dyDescent="0.35">
      <c r="A111" t="s">
        <v>666</v>
      </c>
      <c r="B111" t="s">
        <v>168</v>
      </c>
      <c r="C111" t="s">
        <v>186</v>
      </c>
      <c r="D111" t="s">
        <v>3</v>
      </c>
      <c r="E111" t="s">
        <v>187</v>
      </c>
      <c r="F111" t="s">
        <v>60</v>
      </c>
      <c r="G111" t="s">
        <v>189</v>
      </c>
      <c r="H111" s="11" t="s">
        <v>992</v>
      </c>
      <c r="I111" t="str">
        <f t="shared" si="3"/>
        <v>EHDSServiceRequest- reason[x]</v>
      </c>
      <c r="J111" s="33" t="s">
        <v>992</v>
      </c>
      <c r="K111" t="str">
        <f>IF(LEN(A111)&gt;0,_xlfn.IFNA(_xlfn.XLOOKUP(A111,FHIR!M:M,FHIR!E:E),""),"")</f>
        <v>ServiceRequest-Order.reasonReference</v>
      </c>
      <c r="L111" s="11" t="s">
        <v>992</v>
      </c>
      <c r="M111" s="15" t="str">
        <f t="shared" si="4"/>
        <v/>
      </c>
      <c r="N111" s="11" t="s">
        <v>992</v>
      </c>
      <c r="O111" s="11"/>
      <c r="P111" s="11"/>
      <c r="Q111" t="str">
        <f>IF(LEN(A111)&gt;0,_xlfn.IFNA(_xlfn.XLOOKUP(A111,KOS!U:U,KOS!N:N),""),"")</f>
        <v/>
      </c>
      <c r="R111" t="str">
        <f>IF(LEN(A111)&gt;0,_xlfn.IFNA(_xlfn.XLOOKUP(A111,'KOS SR'!X:X,'KOS SR'!N:N),""),"")</f>
        <v/>
      </c>
      <c r="X111"/>
    </row>
    <row r="112" spans="1:24" ht="18.75" thickTop="1" thickBot="1" x14ac:dyDescent="0.35">
      <c r="A112" t="s">
        <v>667</v>
      </c>
      <c r="B112" t="s">
        <v>168</v>
      </c>
      <c r="C112" t="s">
        <v>192</v>
      </c>
      <c r="D112" t="s">
        <v>13</v>
      </c>
      <c r="E112" t="s">
        <v>193</v>
      </c>
      <c r="F112" t="s">
        <v>55</v>
      </c>
      <c r="G112" t="s">
        <v>194</v>
      </c>
      <c r="H112" s="11" t="s">
        <v>992</v>
      </c>
      <c r="I112" t="str">
        <f t="shared" si="3"/>
        <v>EHDSServiceRequest- priority</v>
      </c>
      <c r="J112" s="33" t="s">
        <v>992</v>
      </c>
      <c r="K112" t="str">
        <f>IF(LEN(A112)&gt;0,_xlfn.IFNA(_xlfn.XLOOKUP(A112,FHIR!M:M,FHIR!E:E),""),"")</f>
        <v>ServiceRequest-Order.priority</v>
      </c>
      <c r="L112" s="11" t="s">
        <v>992</v>
      </c>
      <c r="M112" s="15" t="str">
        <f t="shared" si="4"/>
        <v/>
      </c>
      <c r="N112" s="11" t="s">
        <v>992</v>
      </c>
      <c r="O112" s="11"/>
      <c r="P112" s="11"/>
      <c r="Q112" t="str">
        <f>IF(LEN(A112)&gt;0,_xlfn.IFNA(_xlfn.XLOOKUP(A112,KOS!U:U,KOS!N:N),""),"")</f>
        <v/>
      </c>
      <c r="R112" t="str">
        <f>IF(LEN(A112)&gt;0,_xlfn.IFNA(_xlfn.XLOOKUP(A112,'KOS SR'!X:X,'KOS SR'!N:N),""),"")</f>
        <v/>
      </c>
      <c r="X112"/>
    </row>
    <row r="113" spans="1:24" ht="18.75" thickTop="1" thickBot="1" x14ac:dyDescent="0.35">
      <c r="A113" t="s">
        <v>668</v>
      </c>
      <c r="B113" t="s">
        <v>168</v>
      </c>
      <c r="C113" t="s">
        <v>195</v>
      </c>
      <c r="D113" t="s">
        <v>3</v>
      </c>
      <c r="E113" t="s">
        <v>196</v>
      </c>
      <c r="F113" t="s">
        <v>188</v>
      </c>
      <c r="G113" t="s">
        <v>95</v>
      </c>
      <c r="H113" s="11" t="s">
        <v>992</v>
      </c>
      <c r="I113" t="str">
        <f t="shared" si="3"/>
        <v>EHDSServiceRequest- supportingInformation[x]</v>
      </c>
      <c r="J113" s="33" t="s">
        <v>992</v>
      </c>
      <c r="K113" t="str">
        <f>IF(LEN(A113)&gt;0,_xlfn.IFNA(_xlfn.XLOOKUP(A113,FHIR!M:M,FHIR!E:E),""),"")</f>
        <v>ServiceRequest-Order.supportingInformation[x]</v>
      </c>
      <c r="L113" s="11" t="s">
        <v>992</v>
      </c>
      <c r="M113" s="15" t="str">
        <f t="shared" si="4"/>
        <v/>
      </c>
      <c r="N113" s="11" t="s">
        <v>992</v>
      </c>
      <c r="O113" s="11"/>
      <c r="P113" s="11"/>
      <c r="Q113" t="str">
        <f>IF(LEN(A113)&gt;0,_xlfn.IFNA(_xlfn.XLOOKUP(A113,KOS!U:U,KOS!N:N),""),"")</f>
        <v/>
      </c>
      <c r="R113" t="str">
        <f>IF(LEN(A113)&gt;0,_xlfn.IFNA(_xlfn.XLOOKUP(A113,'KOS SR'!X:X,'KOS SR'!N:N),""),"")</f>
        <v/>
      </c>
      <c r="X113"/>
    </row>
    <row r="114" spans="1:24" ht="18.75" thickTop="1" thickBot="1" x14ac:dyDescent="0.35">
      <c r="A114" t="s">
        <v>669</v>
      </c>
      <c r="B114" t="s">
        <v>168</v>
      </c>
      <c r="C114" t="s">
        <v>195</v>
      </c>
      <c r="D114" t="s">
        <v>3</v>
      </c>
      <c r="E114" t="s">
        <v>196</v>
      </c>
      <c r="F114" t="s">
        <v>190</v>
      </c>
      <c r="G114" t="s">
        <v>95</v>
      </c>
      <c r="H114" s="11" t="s">
        <v>992</v>
      </c>
      <c r="I114" t="str">
        <f t="shared" si="3"/>
        <v>EHDSServiceRequest- supportingInformation[x]</v>
      </c>
      <c r="J114" s="33" t="s">
        <v>992</v>
      </c>
      <c r="K114" t="str">
        <f>IF(LEN(A114)&gt;0,_xlfn.IFNA(_xlfn.XLOOKUP(A114,FHIR!M:M,FHIR!E:E),""),"")</f>
        <v>ServiceRequest-Order.supportingInformation[x]</v>
      </c>
      <c r="L114" s="11" t="s">
        <v>992</v>
      </c>
      <c r="M114" s="15" t="str">
        <f t="shared" si="4"/>
        <v/>
      </c>
      <c r="N114" s="11" t="s">
        <v>992</v>
      </c>
      <c r="O114" s="11"/>
      <c r="P114" s="11"/>
      <c r="Q114" t="str">
        <f>IF(LEN(A114)&gt;0,_xlfn.IFNA(_xlfn.XLOOKUP(A114,KOS!U:U,KOS!N:N),""),"")</f>
        <v/>
      </c>
      <c r="R114" t="str">
        <f>IF(LEN(A114)&gt;0,_xlfn.IFNA(_xlfn.XLOOKUP(A114,'KOS SR'!X:X,'KOS SR'!N:N),""),"")</f>
        <v/>
      </c>
      <c r="X114"/>
    </row>
    <row r="115" spans="1:24" ht="18.75" thickTop="1" thickBot="1" x14ac:dyDescent="0.35">
      <c r="A115" t="s">
        <v>670</v>
      </c>
      <c r="B115" t="s">
        <v>168</v>
      </c>
      <c r="C115" t="s">
        <v>195</v>
      </c>
      <c r="D115" t="s">
        <v>3</v>
      </c>
      <c r="E115" t="s">
        <v>196</v>
      </c>
      <c r="F115" t="s">
        <v>197</v>
      </c>
      <c r="G115" t="s">
        <v>95</v>
      </c>
      <c r="H115" s="11" t="s">
        <v>992</v>
      </c>
      <c r="I115" t="str">
        <f t="shared" si="3"/>
        <v>EHDSServiceRequest- supportingInformation[x]</v>
      </c>
      <c r="J115" s="33" t="s">
        <v>992</v>
      </c>
      <c r="K115" t="str">
        <f>IF(LEN(A115)&gt;0,_xlfn.IFNA(_xlfn.XLOOKUP(A115,FHIR!M:M,FHIR!E:E),""),"")</f>
        <v>ServiceRequest-Order.supportingInformation[x]</v>
      </c>
      <c r="L115" s="11" t="s">
        <v>992</v>
      </c>
      <c r="M115" s="15" t="str">
        <f t="shared" si="4"/>
        <v/>
      </c>
      <c r="N115" s="11" t="s">
        <v>992</v>
      </c>
      <c r="O115" s="11"/>
      <c r="P115" s="11"/>
      <c r="Q115" t="str">
        <f>IF(LEN(A115)&gt;0,_xlfn.IFNA(_xlfn.XLOOKUP(A115,KOS!U:U,KOS!N:N),""),"")</f>
        <v/>
      </c>
      <c r="R115" t="str">
        <f>IF(LEN(A115)&gt;0,_xlfn.IFNA(_xlfn.XLOOKUP(A115,'KOS SR'!X:X,'KOS SR'!N:N),""),"")</f>
        <v/>
      </c>
      <c r="X115"/>
    </row>
    <row r="116" spans="1:24" ht="18.75" thickTop="1" thickBot="1" x14ac:dyDescent="0.35">
      <c r="A116" t="s">
        <v>671</v>
      </c>
      <c r="B116" t="s">
        <v>168</v>
      </c>
      <c r="C116" t="s">
        <v>195</v>
      </c>
      <c r="D116" t="s">
        <v>3</v>
      </c>
      <c r="E116" t="s">
        <v>196</v>
      </c>
      <c r="F116" t="s">
        <v>198</v>
      </c>
      <c r="G116" t="s">
        <v>95</v>
      </c>
      <c r="H116" s="11" t="s">
        <v>992</v>
      </c>
      <c r="I116" t="str">
        <f t="shared" si="3"/>
        <v>EHDSServiceRequest- supportingInformation[x]</v>
      </c>
      <c r="J116" s="33" t="s">
        <v>992</v>
      </c>
      <c r="K116" t="str">
        <f>IF(LEN(A116)&gt;0,_xlfn.IFNA(_xlfn.XLOOKUP(A116,FHIR!M:M,FHIR!E:E),""),"")</f>
        <v>ServiceRequest-Order.supportingInformation[x]</v>
      </c>
      <c r="L116" s="11" t="s">
        <v>992</v>
      </c>
      <c r="M116" s="15" t="str">
        <f t="shared" si="4"/>
        <v/>
      </c>
      <c r="N116" s="11" t="s">
        <v>992</v>
      </c>
      <c r="O116" s="11"/>
      <c r="P116" s="11"/>
      <c r="Q116" t="str">
        <f>IF(LEN(A116)&gt;0,_xlfn.IFNA(_xlfn.XLOOKUP(A116,KOS!U:U,KOS!N:N),""),"")</f>
        <v/>
      </c>
      <c r="R116" t="str">
        <f>IF(LEN(A116)&gt;0,_xlfn.IFNA(_xlfn.XLOOKUP(A116,'KOS SR'!X:X,'KOS SR'!N:N),""),"")</f>
        <v/>
      </c>
      <c r="X116"/>
    </row>
    <row r="117" spans="1:24" ht="18.75" thickTop="1" thickBot="1" x14ac:dyDescent="0.35">
      <c r="A117" t="s">
        <v>672</v>
      </c>
      <c r="B117" t="s">
        <v>168</v>
      </c>
      <c r="C117" t="s">
        <v>199</v>
      </c>
      <c r="D117" t="s">
        <v>3</v>
      </c>
      <c r="E117" t="s">
        <v>200</v>
      </c>
      <c r="F117" t="s">
        <v>62</v>
      </c>
      <c r="G117" t="s">
        <v>95</v>
      </c>
      <c r="H117" s="11" t="s">
        <v>992</v>
      </c>
      <c r="I117" t="str">
        <f t="shared" si="3"/>
        <v>EHDSServiceRequest- specimen</v>
      </c>
      <c r="J117" s="33" t="s">
        <v>992</v>
      </c>
      <c r="K117" t="str">
        <f>IF(LEN(A117)&gt;0,_xlfn.IFNA(_xlfn.XLOOKUP(A117,FHIR!M:M,FHIR!E:E),""),"")</f>
        <v>ServiceRequest-Order.specimen</v>
      </c>
      <c r="L117" s="11" t="s">
        <v>992</v>
      </c>
      <c r="M117" s="15" t="str">
        <f t="shared" si="4"/>
        <v/>
      </c>
      <c r="N117" s="11" t="s">
        <v>992</v>
      </c>
      <c r="O117" s="11"/>
      <c r="P117" s="11"/>
      <c r="Q117" t="str">
        <f>IF(LEN(A117)&gt;0,_xlfn.IFNA(_xlfn.XLOOKUP(A117,KOS!U:U,KOS!N:N),""),"")</f>
        <v/>
      </c>
      <c r="R117" t="str">
        <f>IF(LEN(A117)&gt;0,_xlfn.IFNA(_xlfn.XLOOKUP(A117,'KOS SR'!X:X,'KOS SR'!N:N),""),"")</f>
        <v/>
      </c>
      <c r="X117"/>
    </row>
    <row r="118" spans="1:24" ht="18.75" thickTop="1" thickBot="1" x14ac:dyDescent="0.35">
      <c r="A118" t="s">
        <v>673</v>
      </c>
      <c r="B118" t="s">
        <v>168</v>
      </c>
      <c r="C118" t="s">
        <v>16</v>
      </c>
      <c r="D118" t="s">
        <v>13</v>
      </c>
      <c r="E118" t="s">
        <v>201</v>
      </c>
      <c r="F118" t="s">
        <v>57</v>
      </c>
      <c r="G118" t="s">
        <v>95</v>
      </c>
      <c r="H118" s="11" t="s">
        <v>992</v>
      </c>
      <c r="I118" t="str">
        <f t="shared" si="3"/>
        <v>EHDSServiceRequest- encounter</v>
      </c>
      <c r="J118" s="33" t="s">
        <v>992</v>
      </c>
      <c r="K118" t="str">
        <f>IF(LEN(A118)&gt;0,_xlfn.IFNA(_xlfn.XLOOKUP(A118,FHIR!M:M,FHIR!E:E),""),"")</f>
        <v>ServiceRequest-Order.encounter</v>
      </c>
      <c r="L118" s="11" t="s">
        <v>992</v>
      </c>
      <c r="M118" s="15" t="str">
        <f t="shared" si="4"/>
        <v/>
      </c>
      <c r="N118" s="11" t="s">
        <v>992</v>
      </c>
      <c r="O118" s="11"/>
      <c r="P118" s="11"/>
      <c r="Q118" t="str">
        <f>IF(LEN(A118)&gt;0,_xlfn.IFNA(_xlfn.XLOOKUP(A118,KOS!U:U,KOS!N:N),""),"")</f>
        <v/>
      </c>
      <c r="R118" t="str">
        <f>IF(LEN(A118)&gt;0,_xlfn.IFNA(_xlfn.XLOOKUP(A118,'KOS SR'!X:X,'KOS SR'!N:N),""),"")</f>
        <v/>
      </c>
      <c r="X118"/>
    </row>
    <row r="119" spans="1:24" ht="18.75" thickTop="1" thickBot="1" x14ac:dyDescent="0.35">
      <c r="A119" t="s">
        <v>674</v>
      </c>
      <c r="B119" t="s">
        <v>168</v>
      </c>
      <c r="C119" t="s">
        <v>202</v>
      </c>
      <c r="D119" t="s">
        <v>13</v>
      </c>
      <c r="E119" t="s">
        <v>203</v>
      </c>
      <c r="F119" t="s">
        <v>54</v>
      </c>
      <c r="G119" t="s">
        <v>95</v>
      </c>
      <c r="H119" s="11" t="s">
        <v>992</v>
      </c>
      <c r="I119" t="str">
        <f t="shared" si="3"/>
        <v>EHDSServiceRequest- occurrence[x]</v>
      </c>
      <c r="J119" s="33" t="s">
        <v>992</v>
      </c>
      <c r="K119" t="str">
        <f>IF(LEN(A119)&gt;0,_xlfn.IFNA(_xlfn.XLOOKUP(A119,FHIR!M:M,FHIR!E:E),""),"")</f>
        <v>ServiceRequest-Order.occurrence[x]</v>
      </c>
      <c r="L119" s="11" t="s">
        <v>992</v>
      </c>
      <c r="M119" s="15" t="str">
        <f t="shared" si="4"/>
        <v/>
      </c>
      <c r="N119" s="11" t="s">
        <v>992</v>
      </c>
      <c r="O119" s="11"/>
      <c r="P119" s="11"/>
      <c r="Q119" t="str">
        <f>IF(LEN(A119)&gt;0,_xlfn.IFNA(_xlfn.XLOOKUP(A119,KOS!U:U,KOS!N:N),""),"")</f>
        <v/>
      </c>
      <c r="R119" t="str">
        <f>IF(LEN(A119)&gt;0,_xlfn.IFNA(_xlfn.XLOOKUP(A119,'KOS SR'!X:X,'KOS SR'!N:N),""),"")</f>
        <v/>
      </c>
      <c r="X119"/>
    </row>
    <row r="120" spans="1:24" ht="18.75" thickTop="1" thickBot="1" x14ac:dyDescent="0.35">
      <c r="A120" t="s">
        <v>675</v>
      </c>
      <c r="B120" t="s">
        <v>168</v>
      </c>
      <c r="C120" t="s">
        <v>202</v>
      </c>
      <c r="D120" t="s">
        <v>13</v>
      </c>
      <c r="E120" t="s">
        <v>203</v>
      </c>
      <c r="F120" t="s">
        <v>204</v>
      </c>
      <c r="G120" t="s">
        <v>95</v>
      </c>
      <c r="H120" s="11" t="s">
        <v>992</v>
      </c>
      <c r="I120" t="str">
        <f t="shared" si="3"/>
        <v>EHDSServiceRequest- occurrence[x]</v>
      </c>
      <c r="J120" s="33" t="s">
        <v>992</v>
      </c>
      <c r="K120" t="str">
        <f>IF(LEN(A120)&gt;0,_xlfn.IFNA(_xlfn.XLOOKUP(A120,FHIR!M:M,FHIR!E:E),""),"")</f>
        <v>ServiceRequest-Order.occurrence[x]</v>
      </c>
      <c r="L120" s="11" t="s">
        <v>992</v>
      </c>
      <c r="M120" s="15" t="str">
        <f t="shared" si="4"/>
        <v/>
      </c>
      <c r="N120" s="11" t="s">
        <v>992</v>
      </c>
      <c r="O120" s="11"/>
      <c r="P120" s="11"/>
      <c r="Q120" t="str">
        <f>IF(LEN(A120)&gt;0,_xlfn.IFNA(_xlfn.XLOOKUP(A120,KOS!U:U,KOS!N:N),""),"")</f>
        <v/>
      </c>
      <c r="R120" t="str">
        <f>IF(LEN(A120)&gt;0,_xlfn.IFNA(_xlfn.XLOOKUP(A120,'KOS SR'!X:X,'KOS SR'!N:N),""),"")</f>
        <v/>
      </c>
      <c r="X120"/>
    </row>
    <row r="121" spans="1:24" ht="18.75" thickTop="1" thickBot="1" x14ac:dyDescent="0.35">
      <c r="A121" t="s">
        <v>676</v>
      </c>
      <c r="B121" t="s">
        <v>168</v>
      </c>
      <c r="C121" t="s">
        <v>205</v>
      </c>
      <c r="D121" t="s">
        <v>13</v>
      </c>
      <c r="E121" t="s">
        <v>206</v>
      </c>
      <c r="F121" t="s">
        <v>60</v>
      </c>
      <c r="G121" t="s">
        <v>95</v>
      </c>
      <c r="H121" s="11" t="s">
        <v>992</v>
      </c>
      <c r="I121" t="str">
        <f t="shared" si="3"/>
        <v>EHDSServiceRequest- patientInstructions</v>
      </c>
      <c r="J121" s="33" t="s">
        <v>992</v>
      </c>
      <c r="K121" t="str">
        <f>IF(LEN(A121)&gt;0,_xlfn.IFNA(_xlfn.XLOOKUP(A121,FHIR!M:M,FHIR!E:E),""),"")</f>
        <v>ServiceRequest-Order.patientInstructions</v>
      </c>
      <c r="L121" s="11" t="s">
        <v>992</v>
      </c>
      <c r="M121" s="15" t="str">
        <f t="shared" si="4"/>
        <v/>
      </c>
      <c r="N121" s="11" t="s">
        <v>992</v>
      </c>
      <c r="O121" s="11"/>
      <c r="P121" s="11"/>
      <c r="Q121" t="str">
        <f>IF(LEN(A121)&gt;0,_xlfn.IFNA(_xlfn.XLOOKUP(A121,KOS!U:U,KOS!N:N),""),"")</f>
        <v/>
      </c>
      <c r="R121" t="str">
        <f>IF(LEN(A121)&gt;0,_xlfn.IFNA(_xlfn.XLOOKUP(A121,'KOS SR'!X:X,'KOS SR'!N:N),""),"")</f>
        <v/>
      </c>
      <c r="X121"/>
    </row>
    <row r="122" spans="1:24" ht="18.75" thickTop="1" thickBot="1" x14ac:dyDescent="0.35">
      <c r="A122" t="s">
        <v>621</v>
      </c>
      <c r="B122" t="s">
        <v>207</v>
      </c>
      <c r="C122" t="s">
        <v>2</v>
      </c>
      <c r="D122" t="s">
        <v>3</v>
      </c>
      <c r="E122" t="s">
        <v>208</v>
      </c>
      <c r="F122" t="s">
        <v>2</v>
      </c>
      <c r="G122" t="s">
        <v>95</v>
      </c>
      <c r="H122" s="11" t="s">
        <v>992</v>
      </c>
      <c r="I122" t="str">
        <f t="shared" si="3"/>
        <v xml:space="preserve">EHDSSpecimen </v>
      </c>
      <c r="J122" s="33" t="s">
        <v>992</v>
      </c>
      <c r="K122" t="str">
        <f>IF(LEN(A122)&gt;0,_xlfn.IFNA(_xlfn.XLOOKUP(A122,FHIR!M:M,FHIR!E:E),""),"")</f>
        <v/>
      </c>
      <c r="L122" s="11" t="s">
        <v>992</v>
      </c>
      <c r="M122" s="15" t="str">
        <f t="shared" si="4"/>
        <v/>
      </c>
      <c r="N122" s="11" t="s">
        <v>992</v>
      </c>
      <c r="O122" s="11"/>
      <c r="P122" s="11"/>
      <c r="Q122" t="str">
        <f>IF(LEN(A122)&gt;0,_xlfn.IFNA(_xlfn.XLOOKUP(A122,KOS!U:U,KOS!N:N),""),"")</f>
        <v/>
      </c>
      <c r="R122" t="str">
        <f>IF(LEN(A122)&gt;0,_xlfn.IFNA(_xlfn.XLOOKUP(A122,'KOS SR'!X:X,'KOS SR'!N:N),""),"")</f>
        <v/>
      </c>
      <c r="X122"/>
    </row>
    <row r="123" spans="1:24" ht="18.75" thickTop="1" thickBot="1" x14ac:dyDescent="0.35">
      <c r="A123" t="s">
        <v>622</v>
      </c>
      <c r="B123" t="s">
        <v>207</v>
      </c>
      <c r="C123" t="s">
        <v>96</v>
      </c>
      <c r="D123" t="s">
        <v>8</v>
      </c>
      <c r="E123" t="s">
        <v>209</v>
      </c>
      <c r="F123" t="s">
        <v>50</v>
      </c>
      <c r="G123" t="s">
        <v>95</v>
      </c>
      <c r="H123" s="11" t="s">
        <v>992</v>
      </c>
      <c r="I123" t="str">
        <f t="shared" si="3"/>
        <v>EHDSSpecimen- identifier</v>
      </c>
      <c r="J123" s="33" t="s">
        <v>992</v>
      </c>
      <c r="K123" t="str">
        <f>IF(LEN(A123)&gt;0,_xlfn.IFNA(_xlfn.XLOOKUP(A123,FHIR!M:M,FHIR!E:E),""),"")</f>
        <v>Specimen.identifier</v>
      </c>
      <c r="L123" s="11" t="s">
        <v>992</v>
      </c>
      <c r="M123" s="15" t="str">
        <f t="shared" si="4"/>
        <v>Specimen module-Specimen description sequence-Specimen identifier</v>
      </c>
      <c r="N123" s="11" t="s">
        <v>992</v>
      </c>
      <c r="O123" s="11"/>
      <c r="P123" s="11"/>
      <c r="Q123" t="str">
        <f>IF(LEN(A123)&gt;0,_xlfn.IFNA(_xlfn.XLOOKUP(A123,KOS!U:U,KOS!N:N),""),"")</f>
        <v>Specimen module-Specimen description sequence-Specimen identifier</v>
      </c>
      <c r="R123" t="str">
        <f>IF(LEN(A123)&gt;0,_xlfn.IFNA(_xlfn.XLOOKUP(A123,'KOS SR'!X:X,'KOS SR'!N:N),""),"")</f>
        <v/>
      </c>
      <c r="X123"/>
    </row>
    <row r="124" spans="1:24" ht="18.75" thickTop="1" thickBot="1" x14ac:dyDescent="0.35">
      <c r="A124" t="s">
        <v>623</v>
      </c>
      <c r="B124" t="s">
        <v>207</v>
      </c>
      <c r="C124" t="s">
        <v>120</v>
      </c>
      <c r="D124" t="s">
        <v>13</v>
      </c>
      <c r="E124" t="s">
        <v>210</v>
      </c>
      <c r="F124" t="s">
        <v>55</v>
      </c>
      <c r="G124" t="s">
        <v>211</v>
      </c>
      <c r="H124" s="11" t="s">
        <v>992</v>
      </c>
      <c r="I124" t="str">
        <f t="shared" si="3"/>
        <v>EHDSSpecimen- status</v>
      </c>
      <c r="J124" s="33" t="s">
        <v>992</v>
      </c>
      <c r="K124" t="str">
        <f>IF(LEN(A124)&gt;0,_xlfn.IFNA(_xlfn.XLOOKUP(A124,FHIR!M:M,FHIR!E:E),""),"")</f>
        <v>Specimen.status</v>
      </c>
      <c r="L124" s="11" t="s">
        <v>992</v>
      </c>
      <c r="M124" s="15" t="str">
        <f t="shared" si="4"/>
        <v/>
      </c>
      <c r="N124" s="11" t="s">
        <v>992</v>
      </c>
      <c r="O124" s="11"/>
      <c r="P124" s="11"/>
      <c r="Q124" t="str">
        <f>IF(LEN(A124)&gt;0,_xlfn.IFNA(_xlfn.XLOOKUP(A124,KOS!U:U,KOS!N:N),""),"")</f>
        <v/>
      </c>
      <c r="R124" t="str">
        <f>IF(LEN(A124)&gt;0,_xlfn.IFNA(_xlfn.XLOOKUP(A124,'KOS SR'!X:X,'KOS SR'!N:N),""),"")</f>
        <v/>
      </c>
      <c r="X124"/>
    </row>
    <row r="125" spans="1:24" ht="32.25" thickTop="1" thickBot="1" x14ac:dyDescent="0.35">
      <c r="A125" t="s">
        <v>624</v>
      </c>
      <c r="B125" t="s">
        <v>207</v>
      </c>
      <c r="C125" t="s">
        <v>160</v>
      </c>
      <c r="D125" t="s">
        <v>13</v>
      </c>
      <c r="E125" t="s">
        <v>212</v>
      </c>
      <c r="F125" t="s">
        <v>55</v>
      </c>
      <c r="G125" t="s">
        <v>156</v>
      </c>
      <c r="H125" s="11" t="s">
        <v>992</v>
      </c>
      <c r="I125" t="str">
        <f t="shared" si="3"/>
        <v>EHDSSpecimen- type</v>
      </c>
      <c r="J125" s="33" t="s">
        <v>992</v>
      </c>
      <c r="K125" t="str">
        <f>IF(LEN(A125)&gt;0,_xlfn.IFNA(_xlfn.XLOOKUP(A125,FHIR!M:M,FHIR!E:E),""),"")</f>
        <v>Specimen.type</v>
      </c>
      <c r="L125" s="11" t="s">
        <v>992</v>
      </c>
      <c r="M125" s="15" t="str">
        <f t="shared" si="4"/>
        <v>Specimen module-Specimen description sequence-Specimen Type Code Sequence</v>
      </c>
      <c r="N125" s="11" t="s">
        <v>992</v>
      </c>
      <c r="O125" s="11"/>
      <c r="P125" s="11"/>
      <c r="Q125" t="str">
        <f>IF(LEN(A125)&gt;0,_xlfn.IFNA(_xlfn.XLOOKUP(A125,KOS!U:U,KOS!N:N),""),"")</f>
        <v>Specimen module-Specimen description sequence-Specimen Type Code Sequence</v>
      </c>
      <c r="R125" t="str">
        <f>IF(LEN(A125)&gt;0,_xlfn.IFNA(_xlfn.XLOOKUP(A125,'KOS SR'!X:X,'KOS SR'!N:N),""),"")</f>
        <v/>
      </c>
      <c r="X125"/>
    </row>
    <row r="126" spans="1:24" ht="18.75" thickTop="1" thickBot="1" x14ac:dyDescent="0.35">
      <c r="A126" t="s">
        <v>625</v>
      </c>
      <c r="B126" t="s">
        <v>207</v>
      </c>
      <c r="C126" t="s">
        <v>213</v>
      </c>
      <c r="D126" t="s">
        <v>13</v>
      </c>
      <c r="E126" t="s">
        <v>214</v>
      </c>
      <c r="F126" t="s">
        <v>49</v>
      </c>
      <c r="G126" t="s">
        <v>95</v>
      </c>
      <c r="H126" s="11" t="s">
        <v>992</v>
      </c>
      <c r="I126" t="str">
        <f t="shared" si="3"/>
        <v>EHDSSpecimen- specimenSource[x]</v>
      </c>
      <c r="J126" s="33" t="s">
        <v>992</v>
      </c>
      <c r="K126" t="str">
        <f>IF(LEN(A126)&gt;0,_xlfn.IFNA(_xlfn.XLOOKUP(A126,FHIR!M:M,FHIR!E:E),""),"")</f>
        <v>Specimen.specimenSource[x]</v>
      </c>
      <c r="L126" s="11" t="s">
        <v>992</v>
      </c>
      <c r="M126" s="15" t="str">
        <f t="shared" si="4"/>
        <v/>
      </c>
      <c r="N126" s="11" t="s">
        <v>992</v>
      </c>
      <c r="O126" s="11"/>
      <c r="P126" s="11"/>
      <c r="Q126" t="str">
        <f>IF(LEN(A126)&gt;0,_xlfn.IFNA(_xlfn.XLOOKUP(A126,KOS!U:U,KOS!N:N),""),"")</f>
        <v/>
      </c>
      <c r="R126" t="str">
        <f>IF(LEN(A126)&gt;0,_xlfn.IFNA(_xlfn.XLOOKUP(A126,'KOS SR'!X:X,'KOS SR'!N:N),""),"")</f>
        <v/>
      </c>
      <c r="X126"/>
    </row>
    <row r="127" spans="1:24" ht="18.75" thickTop="1" thickBot="1" x14ac:dyDescent="0.35">
      <c r="A127" t="s">
        <v>626</v>
      </c>
      <c r="B127" t="s">
        <v>207</v>
      </c>
      <c r="C127" t="s">
        <v>213</v>
      </c>
      <c r="D127" t="s">
        <v>13</v>
      </c>
      <c r="E127" t="s">
        <v>214</v>
      </c>
      <c r="F127" t="s">
        <v>215</v>
      </c>
      <c r="G127" t="s">
        <v>95</v>
      </c>
      <c r="H127" s="11" t="s">
        <v>992</v>
      </c>
      <c r="I127" t="str">
        <f t="shared" si="3"/>
        <v>EHDSSpecimen- specimenSource[x]</v>
      </c>
      <c r="J127" s="33" t="s">
        <v>992</v>
      </c>
      <c r="K127" t="str">
        <f>IF(LEN(A127)&gt;0,_xlfn.IFNA(_xlfn.XLOOKUP(A127,FHIR!M:M,FHIR!E:E),""),"")</f>
        <v>Specimen.specimenSource[x]</v>
      </c>
      <c r="L127" s="11" t="s">
        <v>992</v>
      </c>
      <c r="M127" s="15" t="str">
        <f t="shared" si="4"/>
        <v/>
      </c>
      <c r="N127" s="11" t="s">
        <v>992</v>
      </c>
      <c r="O127" s="11"/>
      <c r="P127" s="11"/>
      <c r="Q127" t="str">
        <f>IF(LEN(A127)&gt;0,_xlfn.IFNA(_xlfn.XLOOKUP(A127,KOS!U:U,KOS!N:N),""),"")</f>
        <v/>
      </c>
      <c r="R127" t="str">
        <f>IF(LEN(A127)&gt;0,_xlfn.IFNA(_xlfn.XLOOKUP(A127,'KOS SR'!X:X,'KOS SR'!N:N),""),"")</f>
        <v/>
      </c>
      <c r="X127"/>
    </row>
    <row r="128" spans="1:24" ht="18.75" thickTop="1" thickBot="1" x14ac:dyDescent="0.35">
      <c r="A128" t="s">
        <v>627</v>
      </c>
      <c r="B128" t="s">
        <v>207</v>
      </c>
      <c r="C128" t="s">
        <v>213</v>
      </c>
      <c r="D128" t="s">
        <v>13</v>
      </c>
      <c r="E128" t="s">
        <v>214</v>
      </c>
      <c r="F128" t="s">
        <v>53</v>
      </c>
      <c r="G128" t="s">
        <v>95</v>
      </c>
      <c r="H128" s="11" t="s">
        <v>992</v>
      </c>
      <c r="I128" t="str">
        <f t="shared" si="3"/>
        <v>EHDSSpecimen- specimenSource[x]</v>
      </c>
      <c r="J128" s="33" t="s">
        <v>992</v>
      </c>
      <c r="K128" t="str">
        <f>IF(LEN(A128)&gt;0,_xlfn.IFNA(_xlfn.XLOOKUP(A128,FHIR!M:M,FHIR!E:E),""),"")</f>
        <v>Specimen.specimenSource[x]</v>
      </c>
      <c r="L128" s="11" t="s">
        <v>992</v>
      </c>
      <c r="M128" s="15" t="str">
        <f t="shared" si="4"/>
        <v/>
      </c>
      <c r="N128" s="11" t="s">
        <v>992</v>
      </c>
      <c r="O128" s="11"/>
      <c r="P128" s="11"/>
      <c r="Q128" t="str">
        <f>IF(LEN(A128)&gt;0,_xlfn.IFNA(_xlfn.XLOOKUP(A128,KOS!U:U,KOS!N:N),""),"")</f>
        <v/>
      </c>
      <c r="R128" t="str">
        <f>IF(LEN(A128)&gt;0,_xlfn.IFNA(_xlfn.XLOOKUP(A128,'KOS SR'!X:X,'KOS SR'!N:N),""),"")</f>
        <v/>
      </c>
      <c r="X128"/>
    </row>
    <row r="129" spans="1:24" ht="18.75" thickTop="1" thickBot="1" x14ac:dyDescent="0.35">
      <c r="A129" t="s">
        <v>628</v>
      </c>
      <c r="B129" t="s">
        <v>207</v>
      </c>
      <c r="C129" t="s">
        <v>216</v>
      </c>
      <c r="D129" t="s">
        <v>3</v>
      </c>
      <c r="E129" t="s">
        <v>217</v>
      </c>
      <c r="F129" t="s">
        <v>62</v>
      </c>
      <c r="G129" t="s">
        <v>95</v>
      </c>
      <c r="H129" s="11" t="s">
        <v>992</v>
      </c>
      <c r="I129" t="str">
        <f t="shared" si="3"/>
        <v>EHDSSpecimen- parentSpecimen</v>
      </c>
      <c r="J129" s="33" t="s">
        <v>992</v>
      </c>
      <c r="K129" t="str">
        <f>IF(LEN(A129)&gt;0,_xlfn.IFNA(_xlfn.XLOOKUP(A129,FHIR!M:M,FHIR!E:E),""),"")</f>
        <v>Specimen.parentSpecimen</v>
      </c>
      <c r="L129" s="11" t="s">
        <v>992</v>
      </c>
      <c r="M129" s="15" t="str">
        <f t="shared" si="4"/>
        <v/>
      </c>
      <c r="N129" s="11" t="s">
        <v>992</v>
      </c>
      <c r="O129" s="11"/>
      <c r="P129" s="11"/>
      <c r="Q129" t="str">
        <f>IF(LEN(A129)&gt;0,_xlfn.IFNA(_xlfn.XLOOKUP(A129,KOS!U:U,KOS!N:N),""),"")</f>
        <v/>
      </c>
      <c r="R129" t="str">
        <f>IF(LEN(A129)&gt;0,_xlfn.IFNA(_xlfn.XLOOKUP(A129,'KOS SR'!X:X,'KOS SR'!N:N),""),"")</f>
        <v/>
      </c>
      <c r="X129"/>
    </row>
    <row r="130" spans="1:24" ht="18.75" thickTop="1" thickBot="1" x14ac:dyDescent="0.35">
      <c r="A130" t="s">
        <v>629</v>
      </c>
      <c r="B130" t="s">
        <v>207</v>
      </c>
      <c r="C130" t="s">
        <v>218</v>
      </c>
      <c r="D130" t="s">
        <v>3</v>
      </c>
      <c r="E130" t="s">
        <v>219</v>
      </c>
      <c r="F130" t="s">
        <v>58</v>
      </c>
      <c r="G130" t="s">
        <v>95</v>
      </c>
      <c r="H130" s="11" t="s">
        <v>992</v>
      </c>
      <c r="I130" t="str">
        <f t="shared" si="3"/>
        <v>EHDSSpecimen- request</v>
      </c>
      <c r="J130" s="33" t="s">
        <v>992</v>
      </c>
      <c r="K130" t="str">
        <f>IF(LEN(A130)&gt;0,_xlfn.IFNA(_xlfn.XLOOKUP(A130,FHIR!M:M,FHIR!E:E),""),"")</f>
        <v>Specimen.request</v>
      </c>
      <c r="L130" s="11" t="s">
        <v>992</v>
      </c>
      <c r="M130" s="15" t="str">
        <f t="shared" si="4"/>
        <v/>
      </c>
      <c r="N130" s="11" t="s">
        <v>992</v>
      </c>
      <c r="O130" s="11"/>
      <c r="P130" s="11"/>
      <c r="Q130" t="str">
        <f>IF(LEN(A130)&gt;0,_xlfn.IFNA(_xlfn.XLOOKUP(A130,KOS!U:U,KOS!N:N),""),"")</f>
        <v/>
      </c>
      <c r="R130" t="str">
        <f>IF(LEN(A130)&gt;0,_xlfn.IFNA(_xlfn.XLOOKUP(A130,'KOS SR'!X:X,'KOS SR'!N:N),""),"")</f>
        <v/>
      </c>
      <c r="X130"/>
    </row>
    <row r="131" spans="1:24" ht="18.75" thickTop="1" thickBot="1" x14ac:dyDescent="0.35">
      <c r="A131" t="s">
        <v>630</v>
      </c>
      <c r="B131" t="s">
        <v>207</v>
      </c>
      <c r="C131" t="s">
        <v>220</v>
      </c>
      <c r="D131" t="s">
        <v>13</v>
      </c>
      <c r="E131" t="s">
        <v>221</v>
      </c>
      <c r="F131" t="s">
        <v>55</v>
      </c>
      <c r="G131" t="s">
        <v>222</v>
      </c>
      <c r="H131" s="11" t="s">
        <v>992</v>
      </c>
      <c r="I131" t="str">
        <f t="shared" si="3"/>
        <v>EHDSSpecimen- combined</v>
      </c>
      <c r="J131" s="33" t="s">
        <v>992</v>
      </c>
      <c r="K131" t="str">
        <f>IF(LEN(A131)&gt;0,_xlfn.IFNA(_xlfn.XLOOKUP(A131,FHIR!M:M,FHIR!E:E),""),"")</f>
        <v>Specimen.combined</v>
      </c>
      <c r="L131" s="11" t="s">
        <v>992</v>
      </c>
      <c r="M131" s="15" t="str">
        <f t="shared" si="4"/>
        <v/>
      </c>
      <c r="N131" s="11" t="s">
        <v>992</v>
      </c>
      <c r="O131" s="11"/>
      <c r="P131" s="11"/>
      <c r="Q131" t="str">
        <f>IF(LEN(A131)&gt;0,_xlfn.IFNA(_xlfn.XLOOKUP(A131,KOS!U:U,KOS!N:N),""),"")</f>
        <v/>
      </c>
      <c r="R131" t="str">
        <f>IF(LEN(A131)&gt;0,_xlfn.IFNA(_xlfn.XLOOKUP(A131,'KOS SR'!X:X,'KOS SR'!N:N),""),"")</f>
        <v/>
      </c>
      <c r="X131"/>
    </row>
    <row r="132" spans="1:24" ht="18.75" thickTop="1" thickBot="1" x14ac:dyDescent="0.35">
      <c r="A132" t="s">
        <v>631</v>
      </c>
      <c r="B132" t="s">
        <v>207</v>
      </c>
      <c r="C132" t="s">
        <v>223</v>
      </c>
      <c r="D132" t="s">
        <v>3</v>
      </c>
      <c r="E132" t="s">
        <v>224</v>
      </c>
      <c r="F132" t="s">
        <v>48</v>
      </c>
      <c r="G132" t="s">
        <v>95</v>
      </c>
      <c r="H132" s="11" t="s">
        <v>992</v>
      </c>
      <c r="I132" t="str">
        <f t="shared" si="3"/>
        <v>EHDSSpecimen- collection</v>
      </c>
      <c r="J132" s="33" t="s">
        <v>992</v>
      </c>
      <c r="K132" t="str">
        <f>IF(LEN(A132)&gt;0,_xlfn.IFNA(_xlfn.XLOOKUP(A132,FHIR!M:M,FHIR!E:E),""),"")</f>
        <v>Specimen.collection</v>
      </c>
      <c r="L132" s="11" t="s">
        <v>992</v>
      </c>
      <c r="M132" s="15" t="str">
        <f t="shared" si="4"/>
        <v/>
      </c>
      <c r="N132" s="11" t="s">
        <v>992</v>
      </c>
      <c r="O132" s="11"/>
      <c r="P132" s="11"/>
      <c r="Q132" t="str">
        <f>IF(LEN(A132)&gt;0,_xlfn.IFNA(_xlfn.XLOOKUP(A132,KOS!U:U,KOS!N:N),""),"")</f>
        <v/>
      </c>
      <c r="R132" t="str">
        <f>IF(LEN(A132)&gt;0,_xlfn.IFNA(_xlfn.XLOOKUP(A132,'KOS SR'!X:X,'KOS SR'!N:N),""),"")</f>
        <v/>
      </c>
      <c r="X132"/>
    </row>
    <row r="133" spans="1:24" ht="18.75" thickTop="1" thickBot="1" x14ac:dyDescent="0.35">
      <c r="A133" t="s">
        <v>632</v>
      </c>
      <c r="B133" t="s">
        <v>207</v>
      </c>
      <c r="C133" t="s">
        <v>225</v>
      </c>
      <c r="D133" t="s">
        <v>13</v>
      </c>
      <c r="E133" t="s">
        <v>226</v>
      </c>
      <c r="F133" t="s">
        <v>51</v>
      </c>
      <c r="G133" t="s">
        <v>95</v>
      </c>
      <c r="H133" s="11" t="s">
        <v>992</v>
      </c>
      <c r="I133" t="str">
        <f t="shared" si="3"/>
        <v>EHDSSpecimen- collection.performer[x]</v>
      </c>
      <c r="J133" s="33" t="s">
        <v>992</v>
      </c>
      <c r="K133" t="str">
        <f>IF(LEN(A133)&gt;0,_xlfn.IFNA(_xlfn.XLOOKUP(A133,FHIR!M:M,FHIR!E:E),""),"")</f>
        <v>Specimen.collection.performer[x]</v>
      </c>
      <c r="L133" s="11" t="s">
        <v>992</v>
      </c>
      <c r="M133" s="15" t="str">
        <f t="shared" si="4"/>
        <v/>
      </c>
      <c r="N133" s="11" t="s">
        <v>992</v>
      </c>
      <c r="O133" s="11"/>
      <c r="P133" s="11"/>
      <c r="Q133" t="str">
        <f>IF(LEN(A133)&gt;0,_xlfn.IFNA(_xlfn.XLOOKUP(A133,KOS!U:U,KOS!N:N),""),"")</f>
        <v/>
      </c>
      <c r="R133" t="str">
        <f>IF(LEN(A133)&gt;0,_xlfn.IFNA(_xlfn.XLOOKUP(A133,'KOS SR'!X:X,'KOS SR'!N:N),""),"")</f>
        <v/>
      </c>
      <c r="X133"/>
    </row>
    <row r="134" spans="1:24" ht="18.75" thickTop="1" thickBot="1" x14ac:dyDescent="0.35">
      <c r="A134" t="s">
        <v>633</v>
      </c>
      <c r="B134" t="s">
        <v>207</v>
      </c>
      <c r="C134" t="s">
        <v>225</v>
      </c>
      <c r="D134" t="s">
        <v>13</v>
      </c>
      <c r="E134" t="s">
        <v>226</v>
      </c>
      <c r="F134" t="s">
        <v>52</v>
      </c>
      <c r="G134" t="s">
        <v>95</v>
      </c>
      <c r="H134" s="11" t="s">
        <v>992</v>
      </c>
      <c r="I134" t="str">
        <f t="shared" si="3"/>
        <v>EHDSSpecimen- collection.performer[x]</v>
      </c>
      <c r="J134" s="33" t="s">
        <v>992</v>
      </c>
      <c r="K134" t="str">
        <f>IF(LEN(A134)&gt;0,_xlfn.IFNA(_xlfn.XLOOKUP(A134,FHIR!M:M,FHIR!E:E),""),"")</f>
        <v>Specimen.collection.performer[x]</v>
      </c>
      <c r="L134" s="11" t="s">
        <v>992</v>
      </c>
      <c r="M134" s="15" t="str">
        <f t="shared" si="4"/>
        <v/>
      </c>
      <c r="N134" s="11" t="s">
        <v>992</v>
      </c>
      <c r="O134" s="11"/>
      <c r="P134" s="11"/>
      <c r="Q134" t="str">
        <f>IF(LEN(A134)&gt;0,_xlfn.IFNA(_xlfn.XLOOKUP(A134,KOS!U:U,KOS!N:N),""),"")</f>
        <v/>
      </c>
      <c r="R134" t="str">
        <f>IF(LEN(A134)&gt;0,_xlfn.IFNA(_xlfn.XLOOKUP(A134,'KOS SR'!X:X,'KOS SR'!N:N),""),"")</f>
        <v/>
      </c>
      <c r="X134"/>
    </row>
    <row r="135" spans="1:24" ht="18.75" thickTop="1" thickBot="1" x14ac:dyDescent="0.35">
      <c r="A135" t="s">
        <v>634</v>
      </c>
      <c r="B135" t="s">
        <v>207</v>
      </c>
      <c r="C135" t="s">
        <v>225</v>
      </c>
      <c r="D135" t="s">
        <v>13</v>
      </c>
      <c r="E135" t="s">
        <v>226</v>
      </c>
      <c r="F135" t="s">
        <v>49</v>
      </c>
      <c r="G135" t="s">
        <v>95</v>
      </c>
      <c r="H135" s="11" t="s">
        <v>992</v>
      </c>
      <c r="I135" t="str">
        <f t="shared" si="3"/>
        <v>EHDSSpecimen- collection.performer[x]</v>
      </c>
      <c r="J135" s="33" t="s">
        <v>992</v>
      </c>
      <c r="K135" t="str">
        <f>IF(LEN(A135)&gt;0,_xlfn.IFNA(_xlfn.XLOOKUP(A135,FHIR!M:M,FHIR!E:E),""),"")</f>
        <v>Specimen.collection.performer[x]</v>
      </c>
      <c r="L135" s="11" t="s">
        <v>992</v>
      </c>
      <c r="M135" s="15" t="str">
        <f t="shared" si="4"/>
        <v/>
      </c>
      <c r="N135" s="11" t="s">
        <v>992</v>
      </c>
      <c r="O135" s="11"/>
      <c r="P135" s="11"/>
      <c r="Q135" t="str">
        <f>IF(LEN(A135)&gt;0,_xlfn.IFNA(_xlfn.XLOOKUP(A135,KOS!U:U,KOS!N:N),""),"")</f>
        <v/>
      </c>
      <c r="R135" t="str">
        <f>IF(LEN(A135)&gt;0,_xlfn.IFNA(_xlfn.XLOOKUP(A135,'KOS SR'!X:X,'KOS SR'!N:N),""),"")</f>
        <v/>
      </c>
      <c r="X135"/>
    </row>
    <row r="136" spans="1:24" ht="18.75" thickTop="1" thickBot="1" x14ac:dyDescent="0.35">
      <c r="A136" t="s">
        <v>635</v>
      </c>
      <c r="B136" t="s">
        <v>207</v>
      </c>
      <c r="C136" t="s">
        <v>225</v>
      </c>
      <c r="D136" t="s">
        <v>13</v>
      </c>
      <c r="E136" t="s">
        <v>226</v>
      </c>
      <c r="F136" t="s">
        <v>227</v>
      </c>
      <c r="G136" t="s">
        <v>95</v>
      </c>
      <c r="H136" s="11" t="s">
        <v>992</v>
      </c>
      <c r="I136" t="str">
        <f t="shared" si="3"/>
        <v>EHDSSpecimen- collection.performer[x]</v>
      </c>
      <c r="J136" s="33" t="s">
        <v>992</v>
      </c>
      <c r="K136" t="str">
        <f>IF(LEN(A136)&gt;0,_xlfn.IFNA(_xlfn.XLOOKUP(A136,FHIR!M:M,FHIR!E:E),""),"")</f>
        <v>Specimen.collection.performer[x]</v>
      </c>
      <c r="L136" s="11" t="s">
        <v>992</v>
      </c>
      <c r="M136" s="15" t="str">
        <f t="shared" si="4"/>
        <v/>
      </c>
      <c r="N136" s="11" t="s">
        <v>992</v>
      </c>
      <c r="O136" s="11"/>
      <c r="P136" s="11"/>
      <c r="Q136" t="str">
        <f>IF(LEN(A136)&gt;0,_xlfn.IFNA(_xlfn.XLOOKUP(A136,KOS!U:U,KOS!N:N),""),"")</f>
        <v/>
      </c>
      <c r="R136" t="str">
        <f>IF(LEN(A136)&gt;0,_xlfn.IFNA(_xlfn.XLOOKUP(A136,'KOS SR'!X:X,'KOS SR'!N:N),""),"")</f>
        <v/>
      </c>
      <c r="X136"/>
    </row>
    <row r="137" spans="1:24" ht="18.75" thickTop="1" thickBot="1" x14ac:dyDescent="0.35">
      <c r="A137" t="s">
        <v>636</v>
      </c>
      <c r="B137" t="s">
        <v>207</v>
      </c>
      <c r="C137" t="s">
        <v>228</v>
      </c>
      <c r="D137" t="s">
        <v>5</v>
      </c>
      <c r="E137" t="s">
        <v>229</v>
      </c>
      <c r="F137" t="s">
        <v>204</v>
      </c>
      <c r="G137" t="s">
        <v>95</v>
      </c>
      <c r="H137" s="11" t="s">
        <v>992</v>
      </c>
      <c r="I137" t="str">
        <f t="shared" si="3"/>
        <v>EHDSSpecimen- collection.collected[x]</v>
      </c>
      <c r="J137" s="33" t="s">
        <v>992</v>
      </c>
      <c r="K137" t="str">
        <f>IF(LEN(A137)&gt;0,_xlfn.IFNA(_xlfn.XLOOKUP(A137,FHIR!M:M,FHIR!E:E),""),"")</f>
        <v>Specimen.collection.collected[x]</v>
      </c>
      <c r="L137" s="11" t="s">
        <v>992</v>
      </c>
      <c r="M137" s="15" t="str">
        <f t="shared" si="4"/>
        <v/>
      </c>
      <c r="N137" s="11" t="s">
        <v>992</v>
      </c>
      <c r="O137" s="11"/>
      <c r="P137" s="11"/>
      <c r="Q137" t="str">
        <f>IF(LEN(A137)&gt;0,_xlfn.IFNA(_xlfn.XLOOKUP(A137,KOS!U:U,KOS!N:N),""),"")</f>
        <v/>
      </c>
      <c r="R137" t="str">
        <f>IF(LEN(A137)&gt;0,_xlfn.IFNA(_xlfn.XLOOKUP(A137,'KOS SR'!X:X,'KOS SR'!N:N),""),"")</f>
        <v/>
      </c>
      <c r="X137"/>
    </row>
    <row r="138" spans="1:24" ht="18.75" thickTop="1" thickBot="1" x14ac:dyDescent="0.35">
      <c r="A138" t="s">
        <v>637</v>
      </c>
      <c r="B138" t="s">
        <v>207</v>
      </c>
      <c r="C138" t="s">
        <v>228</v>
      </c>
      <c r="D138" t="s">
        <v>5</v>
      </c>
      <c r="E138" t="s">
        <v>229</v>
      </c>
      <c r="F138" t="s">
        <v>54</v>
      </c>
      <c r="G138" t="s">
        <v>95</v>
      </c>
      <c r="H138" s="11" t="s">
        <v>992</v>
      </c>
      <c r="I138" t="str">
        <f t="shared" si="3"/>
        <v>EHDSSpecimen- collection.collected[x]</v>
      </c>
      <c r="J138" s="33" t="s">
        <v>992</v>
      </c>
      <c r="K138" t="str">
        <f>IF(LEN(A138)&gt;0,_xlfn.IFNA(_xlfn.XLOOKUP(A138,FHIR!M:M,FHIR!E:E),""),"")</f>
        <v>Specimen.collection.collected[x]</v>
      </c>
      <c r="L138" s="11" t="s">
        <v>992</v>
      </c>
      <c r="M138" s="15" t="str">
        <f t="shared" si="4"/>
        <v/>
      </c>
      <c r="N138" s="11" t="s">
        <v>992</v>
      </c>
      <c r="O138" s="11"/>
      <c r="P138" s="11"/>
      <c r="Q138" t="str">
        <f>IF(LEN(A138)&gt;0,_xlfn.IFNA(_xlfn.XLOOKUP(A138,KOS!U:U,KOS!N:N),""),"")</f>
        <v/>
      </c>
      <c r="R138" t="str">
        <f>IF(LEN(A138)&gt;0,_xlfn.IFNA(_xlfn.XLOOKUP(A138,'KOS SR'!X:X,'KOS SR'!N:N),""),"")</f>
        <v/>
      </c>
      <c r="X138"/>
    </row>
    <row r="139" spans="1:24" ht="18.75" thickTop="1" thickBot="1" x14ac:dyDescent="0.35">
      <c r="A139" t="s">
        <v>638</v>
      </c>
      <c r="B139" t="s">
        <v>207</v>
      </c>
      <c r="C139" t="s">
        <v>230</v>
      </c>
      <c r="D139" t="s">
        <v>13</v>
      </c>
      <c r="E139" t="s">
        <v>231</v>
      </c>
      <c r="F139" t="s">
        <v>184</v>
      </c>
      <c r="G139" t="s">
        <v>95</v>
      </c>
      <c r="H139" s="11" t="s">
        <v>992</v>
      </c>
      <c r="I139" t="str">
        <f t="shared" si="3"/>
        <v>EHDSSpecimen- collection.quantity</v>
      </c>
      <c r="J139" s="33" t="s">
        <v>992</v>
      </c>
      <c r="K139" t="str">
        <f>IF(LEN(A139)&gt;0,_xlfn.IFNA(_xlfn.XLOOKUP(A139,FHIR!M:M,FHIR!E:E),""),"")</f>
        <v>Specimen.collection.quantity</v>
      </c>
      <c r="L139" s="11" t="s">
        <v>992</v>
      </c>
      <c r="M139" s="15" t="str">
        <f t="shared" si="4"/>
        <v/>
      </c>
      <c r="N139" s="11" t="s">
        <v>992</v>
      </c>
      <c r="O139" s="11"/>
      <c r="P139" s="11"/>
      <c r="Q139" t="str">
        <f>IF(LEN(A139)&gt;0,_xlfn.IFNA(_xlfn.XLOOKUP(A139,KOS!U:U,KOS!N:N),""),"")</f>
        <v/>
      </c>
      <c r="R139" t="str">
        <f>IF(LEN(A139)&gt;0,_xlfn.IFNA(_xlfn.XLOOKUP(A139,'KOS SR'!X:X,'KOS SR'!N:N),""),"")</f>
        <v/>
      </c>
      <c r="X139"/>
    </row>
    <row r="140" spans="1:24" ht="32.25" thickTop="1" thickBot="1" x14ac:dyDescent="0.35">
      <c r="A140" t="s">
        <v>639</v>
      </c>
      <c r="B140" t="s">
        <v>207</v>
      </c>
      <c r="C140" t="s">
        <v>232</v>
      </c>
      <c r="D140" t="s">
        <v>13</v>
      </c>
      <c r="E140" t="s">
        <v>233</v>
      </c>
      <c r="F140" t="s">
        <v>55</v>
      </c>
      <c r="G140" t="s">
        <v>156</v>
      </c>
      <c r="H140" s="11" t="s">
        <v>992</v>
      </c>
      <c r="I140" t="str">
        <f t="shared" si="3"/>
        <v>EHDSSpecimen- collection.method</v>
      </c>
      <c r="J140" s="33" t="s">
        <v>992</v>
      </c>
      <c r="K140" t="str">
        <f>IF(LEN(A140)&gt;0,_xlfn.IFNA(_xlfn.XLOOKUP(A140,FHIR!M:M,FHIR!E:E),""),"")</f>
        <v>Specimen.collection.method</v>
      </c>
      <c r="L140" s="11" t="s">
        <v>992</v>
      </c>
      <c r="M140" s="15" t="str">
        <f t="shared" si="4"/>
        <v>Specimen module-Specimen description sequence-Specimen Preparation Sequence</v>
      </c>
      <c r="N140" s="11" t="s">
        <v>992</v>
      </c>
      <c r="O140" s="11"/>
      <c r="P140" s="11"/>
      <c r="Q140" t="str">
        <f>IF(LEN(A140)&gt;0,_xlfn.IFNA(_xlfn.XLOOKUP(A140,KOS!U:U,KOS!N:N),""),"")</f>
        <v>Specimen module-Specimen description sequence-Specimen Preparation Sequence</v>
      </c>
      <c r="R140" t="str">
        <f>IF(LEN(A140)&gt;0,_xlfn.IFNA(_xlfn.XLOOKUP(A140,'KOS SR'!X:X,'KOS SR'!N:N),""),"")</f>
        <v/>
      </c>
      <c r="X140"/>
    </row>
    <row r="141" spans="1:24" ht="18.75" thickTop="1" thickBot="1" x14ac:dyDescent="0.35">
      <c r="A141" t="s">
        <v>640</v>
      </c>
      <c r="B141" t="s">
        <v>207</v>
      </c>
      <c r="C141" t="s">
        <v>234</v>
      </c>
      <c r="D141" t="s">
        <v>13</v>
      </c>
      <c r="E141" t="s">
        <v>235</v>
      </c>
      <c r="F141" t="s">
        <v>53</v>
      </c>
      <c r="G141" t="s">
        <v>95</v>
      </c>
      <c r="H141" s="11" t="s">
        <v>992</v>
      </c>
      <c r="I141" t="str">
        <f t="shared" si="3"/>
        <v>EHDSSpecimen- collection.device</v>
      </c>
      <c r="J141" s="33" t="s">
        <v>992</v>
      </c>
      <c r="K141" t="str">
        <f>IF(LEN(A141)&gt;0,_xlfn.IFNA(_xlfn.XLOOKUP(A141,FHIR!M:M,FHIR!E:E),""),"")</f>
        <v>Specimen.collection.device</v>
      </c>
      <c r="L141" s="11" t="s">
        <v>992</v>
      </c>
      <c r="M141" s="15" t="str">
        <f t="shared" si="4"/>
        <v/>
      </c>
      <c r="N141" s="11" t="s">
        <v>992</v>
      </c>
      <c r="O141" s="11"/>
      <c r="P141" s="11"/>
      <c r="Q141" t="str">
        <f>IF(LEN(A141)&gt;0,_xlfn.IFNA(_xlfn.XLOOKUP(A141,KOS!U:U,KOS!N:N),""),"")</f>
        <v/>
      </c>
      <c r="R141" t="str">
        <f>IF(LEN(A141)&gt;0,_xlfn.IFNA(_xlfn.XLOOKUP(A141,'KOS SR'!X:X,'KOS SR'!N:N),""),"")</f>
        <v/>
      </c>
      <c r="X141"/>
    </row>
    <row r="142" spans="1:24" ht="18.75" thickTop="1" thickBot="1" x14ac:dyDescent="0.35">
      <c r="A142" t="s">
        <v>641</v>
      </c>
      <c r="B142" t="s">
        <v>207</v>
      </c>
      <c r="C142" t="s">
        <v>236</v>
      </c>
      <c r="D142" t="s">
        <v>13</v>
      </c>
      <c r="E142" t="s">
        <v>237</v>
      </c>
      <c r="F142" t="s">
        <v>56</v>
      </c>
      <c r="G142" t="s">
        <v>95</v>
      </c>
      <c r="H142" s="11" t="s">
        <v>992</v>
      </c>
      <c r="I142" t="str">
        <f t="shared" si="3"/>
        <v>EHDSSpecimen- collection.bodySite</v>
      </c>
      <c r="J142" s="33" t="s">
        <v>992</v>
      </c>
      <c r="K142" t="str">
        <f>IF(LEN(A142)&gt;0,_xlfn.IFNA(_xlfn.XLOOKUP(A142,FHIR!M:M,FHIR!E:E),""),"")</f>
        <v>Specimen.collection.bodySite</v>
      </c>
      <c r="L142" s="11" t="s">
        <v>992</v>
      </c>
      <c r="M142" s="15" t="str">
        <f t="shared" si="4"/>
        <v/>
      </c>
      <c r="N142" s="11" t="s">
        <v>992</v>
      </c>
      <c r="O142" s="11"/>
      <c r="P142" s="11"/>
      <c r="Q142" t="str">
        <f>IF(LEN(A142)&gt;0,_xlfn.IFNA(_xlfn.XLOOKUP(A142,KOS!U:U,KOS!N:N),""),"")</f>
        <v/>
      </c>
      <c r="R142" t="str">
        <f>IF(LEN(A142)&gt;0,_xlfn.IFNA(_xlfn.XLOOKUP(A142,'KOS SR'!X:X,'KOS SR'!N:N),""),"")</f>
        <v/>
      </c>
      <c r="X142"/>
    </row>
    <row r="143" spans="1:24" ht="18.75" thickTop="1" thickBot="1" x14ac:dyDescent="0.35">
      <c r="A143" t="s">
        <v>642</v>
      </c>
      <c r="B143" t="s">
        <v>207</v>
      </c>
      <c r="C143" t="s">
        <v>238</v>
      </c>
      <c r="D143" t="s">
        <v>13</v>
      </c>
      <c r="E143" t="s">
        <v>239</v>
      </c>
      <c r="F143" t="s">
        <v>54</v>
      </c>
      <c r="G143" t="s">
        <v>95</v>
      </c>
      <c r="H143" s="11" t="s">
        <v>992</v>
      </c>
      <c r="I143" t="str">
        <f t="shared" si="3"/>
        <v>EHDSSpecimen- receivedDate</v>
      </c>
      <c r="J143" s="33" t="s">
        <v>992</v>
      </c>
      <c r="K143" t="str">
        <f>IF(LEN(A143)&gt;0,_xlfn.IFNA(_xlfn.XLOOKUP(A143,FHIR!M:M,FHIR!E:E),""),"")</f>
        <v>Specimen.receivedDate</v>
      </c>
      <c r="L143" s="11" t="s">
        <v>992</v>
      </c>
      <c r="M143" s="15" t="str">
        <f t="shared" si="4"/>
        <v/>
      </c>
      <c r="N143" s="11" t="s">
        <v>992</v>
      </c>
      <c r="O143" s="11"/>
      <c r="P143" s="11"/>
      <c r="Q143" t="str">
        <f>IF(LEN(A143)&gt;0,_xlfn.IFNA(_xlfn.XLOOKUP(A143,KOS!U:U,KOS!N:N),""),"")</f>
        <v/>
      </c>
      <c r="R143" t="str">
        <f>IF(LEN(A143)&gt;0,_xlfn.IFNA(_xlfn.XLOOKUP(A143,'KOS SR'!X:X,'KOS SR'!N:N),""),"")</f>
        <v/>
      </c>
      <c r="X143"/>
    </row>
    <row r="144" spans="1:24" ht="18.75" thickTop="1" thickBot="1" x14ac:dyDescent="0.35">
      <c r="A144" t="s">
        <v>643</v>
      </c>
      <c r="B144" t="s">
        <v>207</v>
      </c>
      <c r="C144" t="s">
        <v>240</v>
      </c>
      <c r="D144" t="s">
        <v>3</v>
      </c>
      <c r="E144" t="s">
        <v>241</v>
      </c>
      <c r="F144" t="s">
        <v>48</v>
      </c>
      <c r="G144" t="s">
        <v>95</v>
      </c>
      <c r="H144" s="11" t="s">
        <v>992</v>
      </c>
      <c r="I144" t="str">
        <f t="shared" ref="I144:I207" si="5">B144&amp;IF(LEN(TRIM(C144))&gt;0,"-","")&amp;C144</f>
        <v>EHDSSpecimen- container</v>
      </c>
      <c r="J144" s="33" t="s">
        <v>992</v>
      </c>
      <c r="K144" t="str">
        <f>IF(LEN(A144)&gt;0,_xlfn.IFNA(_xlfn.XLOOKUP(A144,FHIR!M:M,FHIR!E:E),""),"")</f>
        <v>Specimen.container</v>
      </c>
      <c r="L144" s="11" t="s">
        <v>992</v>
      </c>
      <c r="M144" s="15" t="str">
        <f t="shared" ref="M144:M183" si="6">IF(LEN(TRIM(Q144))&gt;0,Q144,R144)</f>
        <v/>
      </c>
      <c r="N144" s="11" t="s">
        <v>992</v>
      </c>
      <c r="O144" s="11"/>
      <c r="P144" s="11"/>
      <c r="Q144" t="str">
        <f>IF(LEN(A144)&gt;0,_xlfn.IFNA(_xlfn.XLOOKUP(A144,KOS!U:U,KOS!N:N),""),"")</f>
        <v/>
      </c>
      <c r="R144" t="str">
        <f>IF(LEN(A144)&gt;0,_xlfn.IFNA(_xlfn.XLOOKUP(A144,'KOS SR'!X:X,'KOS SR'!N:N),""),"")</f>
        <v/>
      </c>
      <c r="X144"/>
    </row>
    <row r="145" spans="1:24" ht="18.75" thickTop="1" thickBot="1" x14ac:dyDescent="0.35">
      <c r="A145" t="s">
        <v>644</v>
      </c>
      <c r="B145" t="s">
        <v>207</v>
      </c>
      <c r="C145" t="s">
        <v>242</v>
      </c>
      <c r="D145" t="s">
        <v>13</v>
      </c>
      <c r="E145" t="s">
        <v>243</v>
      </c>
      <c r="F145" t="s">
        <v>184</v>
      </c>
      <c r="G145" t="s">
        <v>95</v>
      </c>
      <c r="H145" s="11" t="s">
        <v>992</v>
      </c>
      <c r="I145" t="str">
        <f t="shared" si="5"/>
        <v>EHDSSpecimen- container.specimenQuantity</v>
      </c>
      <c r="J145" s="33" t="s">
        <v>992</v>
      </c>
      <c r="K145" t="str">
        <f>IF(LEN(A145)&gt;0,_xlfn.IFNA(_xlfn.XLOOKUP(A145,FHIR!M:M,FHIR!E:E),""),"")</f>
        <v>Specimen.container.specimenQuantity</v>
      </c>
      <c r="L145" s="11" t="s">
        <v>992</v>
      </c>
      <c r="M145" s="15" t="str">
        <f t="shared" si="6"/>
        <v/>
      </c>
      <c r="N145" s="11" t="s">
        <v>992</v>
      </c>
      <c r="O145" s="11"/>
      <c r="P145" s="11"/>
      <c r="Q145" t="str">
        <f>IF(LEN(A145)&gt;0,_xlfn.IFNA(_xlfn.XLOOKUP(A145,KOS!U:U,KOS!N:N),""),"")</f>
        <v/>
      </c>
      <c r="R145" t="str">
        <f>IF(LEN(A145)&gt;0,_xlfn.IFNA(_xlfn.XLOOKUP(A145,'KOS SR'!X:X,'KOS SR'!N:N),""),"")</f>
        <v/>
      </c>
      <c r="X145"/>
    </row>
    <row r="146" spans="1:24" ht="18.75" thickTop="1" thickBot="1" x14ac:dyDescent="0.35">
      <c r="A146" t="s">
        <v>645</v>
      </c>
      <c r="B146" t="s">
        <v>207</v>
      </c>
      <c r="C146" t="s">
        <v>244</v>
      </c>
      <c r="D146" t="s">
        <v>5</v>
      </c>
      <c r="E146" t="s">
        <v>245</v>
      </c>
      <c r="F146" t="s">
        <v>53</v>
      </c>
      <c r="G146" t="s">
        <v>95</v>
      </c>
      <c r="H146" s="11" t="s">
        <v>992</v>
      </c>
      <c r="I146" t="str">
        <f t="shared" si="5"/>
        <v>EHDSSpecimen- container.containerDevice</v>
      </c>
      <c r="J146" s="33" t="s">
        <v>992</v>
      </c>
      <c r="K146" t="str">
        <f>IF(LEN(A146)&gt;0,_xlfn.IFNA(_xlfn.XLOOKUP(A146,FHIR!M:M,FHIR!E:E),""),"")</f>
        <v>Specimen.container.containerDevice</v>
      </c>
      <c r="L146" s="11" t="s">
        <v>992</v>
      </c>
      <c r="M146" s="15" t="str">
        <f t="shared" si="6"/>
        <v/>
      </c>
      <c r="N146" s="11" t="s">
        <v>992</v>
      </c>
      <c r="O146" s="11"/>
      <c r="P146" s="11"/>
      <c r="Q146" t="str">
        <f>IF(LEN(A146)&gt;0,_xlfn.IFNA(_xlfn.XLOOKUP(A146,KOS!U:U,KOS!N:N),""),"")</f>
        <v/>
      </c>
      <c r="R146" t="str">
        <f>IF(LEN(A146)&gt;0,_xlfn.IFNA(_xlfn.XLOOKUP(A146,'KOS SR'!X:X,'KOS SR'!N:N),""),"")</f>
        <v/>
      </c>
      <c r="X146"/>
    </row>
    <row r="147" spans="1:24" ht="18.75" thickTop="1" thickBot="1" x14ac:dyDescent="0.35">
      <c r="A147" t="s">
        <v>646</v>
      </c>
      <c r="B147" t="s">
        <v>207</v>
      </c>
      <c r="C147" t="s">
        <v>246</v>
      </c>
      <c r="D147" t="s">
        <v>3</v>
      </c>
      <c r="E147" t="s">
        <v>247</v>
      </c>
      <c r="F147" t="s">
        <v>55</v>
      </c>
      <c r="G147" t="s">
        <v>248</v>
      </c>
      <c r="H147" s="11" t="s">
        <v>992</v>
      </c>
      <c r="I147" t="str">
        <f t="shared" si="5"/>
        <v>EHDSSpecimen- condition</v>
      </c>
      <c r="J147" s="33" t="s">
        <v>992</v>
      </c>
      <c r="K147" t="str">
        <f>IF(LEN(A147)&gt;0,_xlfn.IFNA(_xlfn.XLOOKUP(A147,FHIR!M:M,FHIR!E:E),""),"")</f>
        <v>Specimen.condition</v>
      </c>
      <c r="L147" s="11" t="s">
        <v>992</v>
      </c>
      <c r="M147" s="15" t="str">
        <f t="shared" si="6"/>
        <v/>
      </c>
      <c r="N147" s="11" t="s">
        <v>992</v>
      </c>
      <c r="O147" s="11"/>
      <c r="P147" s="11"/>
      <c r="Q147" t="str">
        <f>IF(LEN(A147)&gt;0,_xlfn.IFNA(_xlfn.XLOOKUP(A147,KOS!U:U,KOS!N:N),""),"")</f>
        <v/>
      </c>
      <c r="R147" t="str">
        <f>IF(LEN(A147)&gt;0,_xlfn.IFNA(_xlfn.XLOOKUP(A147,'KOS SR'!X:X,'KOS SR'!N:N),""),"")</f>
        <v/>
      </c>
      <c r="X147"/>
    </row>
    <row r="148" spans="1:24" ht="18.75" thickTop="1" thickBot="1" x14ac:dyDescent="0.35">
      <c r="A148" t="s">
        <v>647</v>
      </c>
      <c r="B148" t="s">
        <v>207</v>
      </c>
      <c r="C148" t="s">
        <v>249</v>
      </c>
      <c r="D148" t="s">
        <v>13</v>
      </c>
      <c r="E148" t="s">
        <v>250</v>
      </c>
      <c r="F148" t="s">
        <v>60</v>
      </c>
      <c r="G148" t="s">
        <v>95</v>
      </c>
      <c r="H148" s="11" t="s">
        <v>992</v>
      </c>
      <c r="I148" t="str">
        <f t="shared" si="5"/>
        <v>EHDSSpecimen- note</v>
      </c>
      <c r="J148" s="33" t="s">
        <v>992</v>
      </c>
      <c r="K148" t="str">
        <f>IF(LEN(A148)&gt;0,_xlfn.IFNA(_xlfn.XLOOKUP(A148,FHIR!M:M,FHIR!E:E),""),"")</f>
        <v>Specimen.note</v>
      </c>
      <c r="L148" s="11" t="s">
        <v>992</v>
      </c>
      <c r="M148" s="15" t="str">
        <f t="shared" si="6"/>
        <v>Specimen module-Specimen description sequence-Speciment short description</v>
      </c>
      <c r="N148" s="11" t="s">
        <v>992</v>
      </c>
      <c r="O148" s="11"/>
      <c r="P148" s="11"/>
      <c r="Q148" t="str">
        <f>IF(LEN(A148)&gt;0,_xlfn.IFNA(_xlfn.XLOOKUP(A148,KOS!U:U,KOS!N:N),""),"")</f>
        <v>Specimen module-Specimen description sequence-Speciment short description</v>
      </c>
      <c r="R148" t="str">
        <f>IF(LEN(A148)&gt;0,_xlfn.IFNA(_xlfn.XLOOKUP(A148,'KOS SR'!X:X,'KOS SR'!N:N),""),"")</f>
        <v/>
      </c>
      <c r="X148"/>
    </row>
    <row r="149" spans="1:24" ht="18.75" thickTop="1" thickBot="1" x14ac:dyDescent="0.35">
      <c r="A149" t="s">
        <v>861</v>
      </c>
      <c r="B149" t="s">
        <v>847</v>
      </c>
      <c r="C149" t="s">
        <v>848</v>
      </c>
      <c r="D149" t="s">
        <v>858</v>
      </c>
      <c r="H149" s="11" t="s">
        <v>992</v>
      </c>
      <c r="I149" t="str">
        <f t="shared" si="5"/>
        <v>EHDSDevice-Container-instanceIdentifier</v>
      </c>
      <c r="J149" s="33" t="s">
        <v>992</v>
      </c>
      <c r="K149" t="str">
        <f>IF(LEN(A149)&gt;0,_xlfn.IFNA(_xlfn.XLOOKUP(A149,FHIR!M:M,FHIR!E:E),""),"")</f>
        <v/>
      </c>
      <c r="L149" s="11" t="s">
        <v>992</v>
      </c>
      <c r="M149" s="15" t="str">
        <f t="shared" si="6"/>
        <v>Specimen module-Container Identifier</v>
      </c>
      <c r="N149" s="11" t="s">
        <v>992</v>
      </c>
      <c r="O149" s="11"/>
      <c r="P149" s="11"/>
      <c r="Q149" t="str">
        <f>IF(LEN(A149)&gt;0,_xlfn.IFNA(_xlfn.XLOOKUP(A149,KOS!U:U,KOS!N:N),""),"")</f>
        <v>Specimen module-Container Identifier</v>
      </c>
      <c r="R149" t="str">
        <f>IF(LEN(A149)&gt;0,_xlfn.IFNA(_xlfn.XLOOKUP(A149,'KOS SR'!X:X,'KOS SR'!N:N),""),"")</f>
        <v/>
      </c>
      <c r="X149"/>
    </row>
    <row r="150" spans="1:24" ht="18.75" thickTop="1" thickBot="1" x14ac:dyDescent="0.35">
      <c r="A150" t="s">
        <v>862</v>
      </c>
      <c r="B150" t="s">
        <v>847</v>
      </c>
      <c r="C150" t="s">
        <v>849</v>
      </c>
      <c r="D150" t="s">
        <v>858</v>
      </c>
      <c r="H150" s="11" t="s">
        <v>992</v>
      </c>
      <c r="I150" t="str">
        <f t="shared" si="5"/>
        <v>EHDSDevice-Container-uidCarrier</v>
      </c>
      <c r="J150" s="33" t="s">
        <v>992</v>
      </c>
      <c r="K150" t="str">
        <f>IF(LEN(A150)&gt;0,_xlfn.IFNA(_xlfn.XLOOKUP(A150,FHIR!M:M,FHIR!E:E),""),"")</f>
        <v/>
      </c>
      <c r="L150" s="11" t="s">
        <v>992</v>
      </c>
      <c r="M150" s="15" t="str">
        <f t="shared" si="6"/>
        <v/>
      </c>
      <c r="N150" s="11" t="s">
        <v>992</v>
      </c>
      <c r="O150" s="11"/>
      <c r="P150" s="11"/>
      <c r="Q150" t="str">
        <f>IF(LEN(A150)&gt;0,_xlfn.IFNA(_xlfn.XLOOKUP(A150,KOS!U:U,KOS!N:N),""),"")</f>
        <v/>
      </c>
      <c r="R150" t="str">
        <f>IF(LEN(A150)&gt;0,_xlfn.IFNA(_xlfn.XLOOKUP(A150,'KOS SR'!X:X,'KOS SR'!N:N),""),"")</f>
        <v/>
      </c>
      <c r="X150"/>
    </row>
    <row r="151" spans="1:24" ht="18.75" thickTop="1" thickBot="1" x14ac:dyDescent="0.35">
      <c r="A151" t="s">
        <v>863</v>
      </c>
      <c r="B151" t="s">
        <v>847</v>
      </c>
      <c r="C151" t="s">
        <v>346</v>
      </c>
      <c r="D151" t="s">
        <v>859</v>
      </c>
      <c r="H151" s="11" t="s">
        <v>992</v>
      </c>
      <c r="I151" t="str">
        <f t="shared" si="5"/>
        <v>EHDSDevice-Container-manufacturer</v>
      </c>
      <c r="J151" s="33" t="s">
        <v>992</v>
      </c>
      <c r="K151" t="str">
        <f>IF(LEN(A151)&gt;0,_xlfn.IFNA(_xlfn.XLOOKUP(A151,FHIR!M:M,FHIR!E:E),""),"")</f>
        <v/>
      </c>
      <c r="L151" s="11" t="s">
        <v>992</v>
      </c>
      <c r="M151" s="15" t="str">
        <f t="shared" si="6"/>
        <v/>
      </c>
      <c r="N151" s="11" t="s">
        <v>992</v>
      </c>
      <c r="O151" s="11"/>
      <c r="P151" s="11"/>
      <c r="Q151" t="str">
        <f>IF(LEN(A151)&gt;0,_xlfn.IFNA(_xlfn.XLOOKUP(A151,KOS!U:U,KOS!N:N),""),"")</f>
        <v/>
      </c>
      <c r="R151" t="str">
        <f>IF(LEN(A151)&gt;0,_xlfn.IFNA(_xlfn.XLOOKUP(A151,'KOS SR'!X:X,'KOS SR'!N:N),""),"")</f>
        <v/>
      </c>
      <c r="X151"/>
    </row>
    <row r="152" spans="1:24" ht="18.75" thickTop="1" thickBot="1" x14ac:dyDescent="0.35">
      <c r="A152" t="s">
        <v>864</v>
      </c>
      <c r="B152" t="s">
        <v>847</v>
      </c>
      <c r="C152" t="s">
        <v>850</v>
      </c>
      <c r="D152" t="s">
        <v>859</v>
      </c>
      <c r="H152" s="11" t="s">
        <v>992</v>
      </c>
      <c r="I152" t="str">
        <f t="shared" si="5"/>
        <v>EHDSDevice-Container-manufactureDate</v>
      </c>
      <c r="J152" s="33" t="s">
        <v>992</v>
      </c>
      <c r="K152" t="str">
        <f>IF(LEN(A152)&gt;0,_xlfn.IFNA(_xlfn.XLOOKUP(A152,FHIR!M:M,FHIR!E:E),""),"")</f>
        <v/>
      </c>
      <c r="L152" s="11" t="s">
        <v>992</v>
      </c>
      <c r="M152" s="15" t="str">
        <f t="shared" si="6"/>
        <v/>
      </c>
      <c r="N152" s="11" t="s">
        <v>992</v>
      </c>
      <c r="O152" s="11"/>
      <c r="P152" s="11"/>
      <c r="Q152" t="str">
        <f>IF(LEN(A152)&gt;0,_xlfn.IFNA(_xlfn.XLOOKUP(A152,KOS!U:U,KOS!N:N),""),"")</f>
        <v/>
      </c>
      <c r="R152" t="str">
        <f>IF(LEN(A152)&gt;0,_xlfn.IFNA(_xlfn.XLOOKUP(A152,'KOS SR'!X:X,'KOS SR'!N:N),""),"")</f>
        <v/>
      </c>
      <c r="X152"/>
    </row>
    <row r="153" spans="1:24" ht="18.75" thickTop="1" thickBot="1" x14ac:dyDescent="0.35">
      <c r="A153" t="s">
        <v>865</v>
      </c>
      <c r="B153" t="s">
        <v>847</v>
      </c>
      <c r="C153" t="s">
        <v>851</v>
      </c>
      <c r="D153" t="s">
        <v>859</v>
      </c>
      <c r="H153" s="11" t="s">
        <v>992</v>
      </c>
      <c r="I153" t="str">
        <f t="shared" si="5"/>
        <v>EHDSDevice-Container-expiryDate</v>
      </c>
      <c r="J153" s="33" t="s">
        <v>992</v>
      </c>
      <c r="K153" t="str">
        <f>IF(LEN(A153)&gt;0,_xlfn.IFNA(_xlfn.XLOOKUP(A153,FHIR!M:M,FHIR!E:E),""),"")</f>
        <v/>
      </c>
      <c r="L153" s="11" t="s">
        <v>992</v>
      </c>
      <c r="M153" s="15" t="str">
        <f t="shared" si="6"/>
        <v/>
      </c>
      <c r="N153" s="11" t="s">
        <v>992</v>
      </c>
      <c r="O153" s="11"/>
      <c r="P153" s="11"/>
      <c r="Q153" t="str">
        <f>IF(LEN(A153)&gt;0,_xlfn.IFNA(_xlfn.XLOOKUP(A153,KOS!U:U,KOS!N:N),""),"")</f>
        <v/>
      </c>
      <c r="R153" t="str">
        <f>IF(LEN(A153)&gt;0,_xlfn.IFNA(_xlfn.XLOOKUP(A153,'KOS SR'!X:X,'KOS SR'!N:N),""),"")</f>
        <v/>
      </c>
      <c r="X153"/>
    </row>
    <row r="154" spans="1:24" ht="18.75" thickTop="1" thickBot="1" x14ac:dyDescent="0.35">
      <c r="A154" t="s">
        <v>866</v>
      </c>
      <c r="B154" t="s">
        <v>847</v>
      </c>
      <c r="C154" t="s">
        <v>852</v>
      </c>
      <c r="D154" t="s">
        <v>859</v>
      </c>
      <c r="H154" s="11" t="s">
        <v>992</v>
      </c>
      <c r="I154" t="str">
        <f t="shared" si="5"/>
        <v>EHDSDevice-Container-lotNumber</v>
      </c>
      <c r="J154" s="33" t="s">
        <v>992</v>
      </c>
      <c r="K154" t="str">
        <f>IF(LEN(A154)&gt;0,_xlfn.IFNA(_xlfn.XLOOKUP(A154,FHIR!M:M,FHIR!E:E),""),"")</f>
        <v/>
      </c>
      <c r="L154" s="11" t="s">
        <v>992</v>
      </c>
      <c r="M154" s="15" t="str">
        <f t="shared" si="6"/>
        <v/>
      </c>
      <c r="N154" s="11" t="s">
        <v>992</v>
      </c>
      <c r="O154" s="11"/>
      <c r="P154" s="11"/>
      <c r="Q154" t="str">
        <f>IF(LEN(A154)&gt;0,_xlfn.IFNA(_xlfn.XLOOKUP(A154,KOS!U:U,KOS!N:N),""),"")</f>
        <v/>
      </c>
      <c r="R154" t="str">
        <f>IF(LEN(A154)&gt;0,_xlfn.IFNA(_xlfn.XLOOKUP(A154,'KOS SR'!X:X,'KOS SR'!N:N),""),"")</f>
        <v/>
      </c>
      <c r="X154"/>
    </row>
    <row r="155" spans="1:24" ht="18.75" thickTop="1" thickBot="1" x14ac:dyDescent="0.35">
      <c r="A155" t="s">
        <v>867</v>
      </c>
      <c r="B155" t="s">
        <v>847</v>
      </c>
      <c r="C155" t="s">
        <v>853</v>
      </c>
      <c r="D155" t="s">
        <v>859</v>
      </c>
      <c r="H155" s="11" t="s">
        <v>992</v>
      </c>
      <c r="I155" t="str">
        <f t="shared" si="5"/>
        <v>EHDSDevice-Container-serialNumber</v>
      </c>
      <c r="J155" s="33" t="s">
        <v>992</v>
      </c>
      <c r="K155" t="str">
        <f>IF(LEN(A155)&gt;0,_xlfn.IFNA(_xlfn.XLOOKUP(A155,FHIR!M:M,FHIR!E:E),""),"")</f>
        <v/>
      </c>
      <c r="L155" s="11" t="s">
        <v>992</v>
      </c>
      <c r="M155" s="15" t="str">
        <f t="shared" si="6"/>
        <v/>
      </c>
      <c r="N155" s="11" t="s">
        <v>992</v>
      </c>
      <c r="O155" s="11"/>
      <c r="P155" s="11"/>
      <c r="Q155" t="str">
        <f>IF(LEN(A155)&gt;0,_xlfn.IFNA(_xlfn.XLOOKUP(A155,KOS!U:U,KOS!N:N),""),"")</f>
        <v/>
      </c>
      <c r="R155" t="str">
        <f>IF(LEN(A155)&gt;0,_xlfn.IFNA(_xlfn.XLOOKUP(A155,'KOS SR'!X:X,'KOS SR'!N:N),""),"")</f>
        <v/>
      </c>
      <c r="X155"/>
    </row>
    <row r="156" spans="1:24" ht="18.75" thickTop="1" thickBot="1" x14ac:dyDescent="0.35">
      <c r="A156" t="s">
        <v>868</v>
      </c>
      <c r="B156" t="s">
        <v>847</v>
      </c>
      <c r="C156" t="s">
        <v>854</v>
      </c>
      <c r="D156" t="s">
        <v>860</v>
      </c>
      <c r="H156" s="11" t="s">
        <v>992</v>
      </c>
      <c r="I156" t="str">
        <f t="shared" si="5"/>
        <v>EHDSDevice-Container-name.value</v>
      </c>
      <c r="J156" s="33" t="s">
        <v>992</v>
      </c>
      <c r="K156" t="str">
        <f>IF(LEN(A156)&gt;0,_xlfn.IFNA(_xlfn.XLOOKUP(A156,FHIR!M:M,FHIR!E:E),""),"")</f>
        <v/>
      </c>
      <c r="L156" s="11" t="s">
        <v>992</v>
      </c>
      <c r="M156" s="15" t="str">
        <f t="shared" si="6"/>
        <v/>
      </c>
      <c r="N156" s="11" t="s">
        <v>992</v>
      </c>
      <c r="O156" s="11"/>
      <c r="P156" s="11"/>
      <c r="Q156" t="str">
        <f>IF(LEN(A156)&gt;0,_xlfn.IFNA(_xlfn.XLOOKUP(A156,KOS!U:U,KOS!N:N),""),"")</f>
        <v/>
      </c>
      <c r="R156" t="str">
        <f>IF(LEN(A156)&gt;0,_xlfn.IFNA(_xlfn.XLOOKUP(A156,'KOS SR'!X:X,'KOS SR'!N:N),""),"")</f>
        <v/>
      </c>
      <c r="X156"/>
    </row>
    <row r="157" spans="1:24" ht="18.75" thickTop="1" thickBot="1" x14ac:dyDescent="0.35">
      <c r="A157" t="s">
        <v>869</v>
      </c>
      <c r="B157" t="s">
        <v>847</v>
      </c>
      <c r="C157" t="s">
        <v>855</v>
      </c>
      <c r="D157" t="s">
        <v>860</v>
      </c>
      <c r="H157" s="11" t="s">
        <v>992</v>
      </c>
      <c r="I157" t="str">
        <f t="shared" si="5"/>
        <v>EHDSDevice-Container-name.type</v>
      </c>
      <c r="J157" s="33" t="s">
        <v>992</v>
      </c>
      <c r="K157" t="str">
        <f>IF(LEN(A157)&gt;0,_xlfn.IFNA(_xlfn.XLOOKUP(A157,FHIR!M:M,FHIR!E:E),""),"")</f>
        <v/>
      </c>
      <c r="L157" s="11" t="s">
        <v>992</v>
      </c>
      <c r="M157" s="15" t="str">
        <f t="shared" si="6"/>
        <v/>
      </c>
      <c r="N157" s="11" t="s">
        <v>992</v>
      </c>
      <c r="O157" s="11"/>
      <c r="P157" s="11"/>
      <c r="Q157" t="str">
        <f>IF(LEN(A157)&gt;0,_xlfn.IFNA(_xlfn.XLOOKUP(A157,KOS!U:U,KOS!N:N),""),"")</f>
        <v/>
      </c>
      <c r="R157" t="str">
        <f>IF(LEN(A157)&gt;0,_xlfn.IFNA(_xlfn.XLOOKUP(A157,'KOS SR'!X:X,'KOS SR'!N:N),""),"")</f>
        <v/>
      </c>
      <c r="X157"/>
    </row>
    <row r="158" spans="1:24" ht="18.75" thickTop="1" thickBot="1" x14ac:dyDescent="0.35">
      <c r="A158" t="s">
        <v>870</v>
      </c>
      <c r="B158" t="s">
        <v>847</v>
      </c>
      <c r="C158" t="s">
        <v>856</v>
      </c>
      <c r="D158" t="s">
        <v>859</v>
      </c>
      <c r="H158" s="11" t="s">
        <v>992</v>
      </c>
      <c r="I158" t="str">
        <f t="shared" si="5"/>
        <v>EHDSDevice-Container-modelNumber</v>
      </c>
      <c r="J158" s="33" t="s">
        <v>992</v>
      </c>
      <c r="K158" t="str">
        <f>IF(LEN(A158)&gt;0,_xlfn.IFNA(_xlfn.XLOOKUP(A158,FHIR!M:M,FHIR!E:E),""),"")</f>
        <v/>
      </c>
      <c r="L158" s="11" t="s">
        <v>992</v>
      </c>
      <c r="M158" s="15" t="str">
        <f t="shared" si="6"/>
        <v/>
      </c>
      <c r="N158" s="11" t="s">
        <v>992</v>
      </c>
      <c r="O158" s="11"/>
      <c r="P158" s="11"/>
      <c r="Q158" t="str">
        <f>IF(LEN(A158)&gt;0,_xlfn.IFNA(_xlfn.XLOOKUP(A158,KOS!U:U,KOS!N:N),""),"")</f>
        <v/>
      </c>
      <c r="R158" t="str">
        <f>IF(LEN(A158)&gt;0,_xlfn.IFNA(_xlfn.XLOOKUP(A158,'KOS SR'!X:X,'KOS SR'!N:N),""),"")</f>
        <v/>
      </c>
      <c r="X158"/>
    </row>
    <row r="159" spans="1:24" ht="18.75" thickTop="1" thickBot="1" x14ac:dyDescent="0.35">
      <c r="A159" t="s">
        <v>871</v>
      </c>
      <c r="B159" t="s">
        <v>847</v>
      </c>
      <c r="C159" t="s">
        <v>857</v>
      </c>
      <c r="D159" t="s">
        <v>858</v>
      </c>
      <c r="H159" s="11" t="s">
        <v>992</v>
      </c>
      <c r="I159" t="str">
        <f t="shared" si="5"/>
        <v>EHDSDevice-Container-version</v>
      </c>
      <c r="J159" s="33" t="s">
        <v>992</v>
      </c>
      <c r="K159" t="str">
        <f>IF(LEN(A159)&gt;0,_xlfn.IFNA(_xlfn.XLOOKUP(A159,FHIR!M:M,FHIR!E:E),""),"")</f>
        <v/>
      </c>
      <c r="L159" s="11" t="s">
        <v>992</v>
      </c>
      <c r="M159" s="15" t="str">
        <f t="shared" si="6"/>
        <v/>
      </c>
      <c r="N159" s="11" t="s">
        <v>992</v>
      </c>
      <c r="O159" s="11"/>
      <c r="P159" s="11"/>
      <c r="Q159" t="str">
        <f>IF(LEN(A159)&gt;0,_xlfn.IFNA(_xlfn.XLOOKUP(A159,KOS!U:U,KOS!N:N),""),"")</f>
        <v/>
      </c>
      <c r="R159" t="str">
        <f>IF(LEN(A159)&gt;0,_xlfn.IFNA(_xlfn.XLOOKUP(A159,'KOS SR'!X:X,'KOS SR'!N:N),""),"")</f>
        <v/>
      </c>
      <c r="X159"/>
    </row>
    <row r="160" spans="1:24" ht="18.75" thickTop="1" thickBot="1" x14ac:dyDescent="0.35">
      <c r="A160" t="s">
        <v>872</v>
      </c>
      <c r="B160" t="s">
        <v>847</v>
      </c>
      <c r="C160" t="s">
        <v>252</v>
      </c>
      <c r="D160" t="s">
        <v>858</v>
      </c>
      <c r="H160" s="11" t="s">
        <v>992</v>
      </c>
      <c r="I160" t="str">
        <f t="shared" si="5"/>
        <v>EHDSDevice-Container-type</v>
      </c>
      <c r="J160" s="33" t="s">
        <v>992</v>
      </c>
      <c r="K160" t="str">
        <f>IF(LEN(A160)&gt;0,_xlfn.IFNA(_xlfn.XLOOKUP(A160,FHIR!M:M,FHIR!E:E),""),"")</f>
        <v/>
      </c>
      <c r="L160" s="11" t="s">
        <v>992</v>
      </c>
      <c r="M160" s="15" t="str">
        <f t="shared" si="6"/>
        <v>Specimen module-Container type code sequence</v>
      </c>
      <c r="N160" s="11" t="s">
        <v>992</v>
      </c>
      <c r="O160" s="11"/>
      <c r="P160" s="11"/>
      <c r="Q160" t="str">
        <f>IF(LEN(A160)&gt;0,_xlfn.IFNA(_xlfn.XLOOKUP(A160,KOS!U:U,KOS!N:N),""),"")</f>
        <v>Specimen module-Container type code sequence</v>
      </c>
      <c r="R160" t="str">
        <f>IF(LEN(A160)&gt;0,_xlfn.IFNA(_xlfn.XLOOKUP(A160,'KOS SR'!X:X,'KOS SR'!N:N),""),"")</f>
        <v/>
      </c>
      <c r="X160"/>
    </row>
    <row r="161" spans="1:24" ht="18.75" thickTop="1" thickBot="1" x14ac:dyDescent="0.35">
      <c r="A161" t="s">
        <v>873</v>
      </c>
      <c r="B161" t="s">
        <v>847</v>
      </c>
      <c r="C161" t="s">
        <v>275</v>
      </c>
      <c r="D161" t="s">
        <v>859</v>
      </c>
      <c r="H161" s="11" t="s">
        <v>992</v>
      </c>
      <c r="I161" t="str">
        <f t="shared" si="5"/>
        <v>EHDSDevice-Container-note</v>
      </c>
      <c r="J161" s="33" t="s">
        <v>992</v>
      </c>
      <c r="K161" t="str">
        <f>IF(LEN(A161)&gt;0,_xlfn.IFNA(_xlfn.XLOOKUP(A161,FHIR!M:M,FHIR!E:E),""),"")</f>
        <v/>
      </c>
      <c r="L161" s="11" t="s">
        <v>992</v>
      </c>
      <c r="M161" s="15" t="str">
        <f t="shared" si="6"/>
        <v/>
      </c>
      <c r="N161" s="11" t="s">
        <v>992</v>
      </c>
      <c r="O161" s="11"/>
      <c r="P161" s="11"/>
      <c r="Q161" t="str">
        <f>IF(LEN(A161)&gt;0,_xlfn.IFNA(_xlfn.XLOOKUP(A161,KOS!U:U,KOS!N:N),""),"")</f>
        <v/>
      </c>
      <c r="R161" t="str">
        <f>IF(LEN(A161)&gt;0,_xlfn.IFNA(_xlfn.XLOOKUP(A161,'KOS SR'!X:X,'KOS SR'!N:N),""),"")</f>
        <v/>
      </c>
      <c r="X161"/>
    </row>
    <row r="162" spans="1:24" ht="18.75" thickTop="1" thickBot="1" x14ac:dyDescent="0.35">
      <c r="H162" s="11" t="s">
        <v>992</v>
      </c>
      <c r="I162" t="str">
        <f t="shared" si="5"/>
        <v/>
      </c>
      <c r="J162" s="33" t="s">
        <v>992</v>
      </c>
      <c r="K162" t="str">
        <f>IF(LEN(A162)&gt;0,_xlfn.IFNA(_xlfn.XLOOKUP(A162,FHIR!M:M,FHIR!E:E),""),"")</f>
        <v/>
      </c>
      <c r="L162" s="11" t="s">
        <v>992</v>
      </c>
      <c r="M162" s="15" t="str">
        <f t="shared" si="6"/>
        <v/>
      </c>
      <c r="N162" s="11" t="s">
        <v>992</v>
      </c>
      <c r="O162" s="11"/>
      <c r="P162" s="11"/>
      <c r="Q162" t="str">
        <f>IF(LEN(A162)&gt;0,_xlfn.IFNA(_xlfn.XLOOKUP(A162,KOS!U:U,KOS!N:N),""),"")</f>
        <v/>
      </c>
      <c r="R162" t="str">
        <f>IF(LEN(A162)&gt;0,_xlfn.IFNA(_xlfn.XLOOKUP(A162,'KOS SR'!X:X,'KOS SR'!N:N),""),"")</f>
        <v/>
      </c>
      <c r="X162"/>
    </row>
    <row r="163" spans="1:24" ht="18.75" thickTop="1" thickBot="1" x14ac:dyDescent="0.35">
      <c r="H163" s="11" t="s">
        <v>992</v>
      </c>
      <c r="I163" t="str">
        <f t="shared" si="5"/>
        <v/>
      </c>
      <c r="J163" s="33" t="s">
        <v>992</v>
      </c>
      <c r="K163" t="str">
        <f>IF(LEN(A163)&gt;0,_xlfn.IFNA(_xlfn.XLOOKUP(A163,FHIR!M:M,FHIR!E:E),""),"")</f>
        <v/>
      </c>
      <c r="L163" s="11" t="s">
        <v>992</v>
      </c>
      <c r="M163" s="15" t="str">
        <f t="shared" si="6"/>
        <v/>
      </c>
      <c r="N163" s="11" t="s">
        <v>992</v>
      </c>
      <c r="O163" s="11"/>
      <c r="P163" s="11"/>
      <c r="Q163" t="str">
        <f>IF(LEN(A163)&gt;0,_xlfn.IFNA(_xlfn.XLOOKUP(A163,KOS!U:U,KOS!N:N),""),"")</f>
        <v/>
      </c>
      <c r="R163" t="str">
        <f>IF(LEN(A163)&gt;0,_xlfn.IFNA(_xlfn.XLOOKUP(A163,'KOS SR'!X:X,'KOS SR'!N:N),""),"")</f>
        <v/>
      </c>
      <c r="X163"/>
    </row>
    <row r="164" spans="1:24" ht="18.75" thickTop="1" thickBot="1" x14ac:dyDescent="0.35">
      <c r="H164" s="11" t="s">
        <v>992</v>
      </c>
      <c r="I164" t="str">
        <f t="shared" si="5"/>
        <v/>
      </c>
      <c r="J164" s="33" t="s">
        <v>992</v>
      </c>
      <c r="K164" t="str">
        <f>IF(LEN(A164)&gt;0,_xlfn.IFNA(_xlfn.XLOOKUP(A164,FHIR!M:M,FHIR!E:E),""),"")</f>
        <v/>
      </c>
      <c r="L164" s="11" t="s">
        <v>992</v>
      </c>
      <c r="M164" s="15" t="str">
        <f t="shared" si="6"/>
        <v/>
      </c>
      <c r="N164" s="11" t="s">
        <v>992</v>
      </c>
      <c r="O164" s="11"/>
      <c r="P164" s="11"/>
      <c r="Q164" t="str">
        <f>IF(LEN(A164)&gt;0,_xlfn.IFNA(_xlfn.XLOOKUP(A164,KOS!U:U,KOS!N:N),""),"")</f>
        <v/>
      </c>
      <c r="R164" t="str">
        <f>IF(LEN(A164)&gt;0,_xlfn.IFNA(_xlfn.XLOOKUP(A164,'KOS SR'!X:X,'KOS SR'!N:N),""),"")</f>
        <v/>
      </c>
      <c r="X164"/>
    </row>
    <row r="165" spans="1:24" ht="18.75" thickTop="1" thickBot="1" x14ac:dyDescent="0.35">
      <c r="H165" s="11" t="s">
        <v>992</v>
      </c>
      <c r="I165" t="str">
        <f t="shared" si="5"/>
        <v/>
      </c>
      <c r="J165" s="33" t="s">
        <v>992</v>
      </c>
      <c r="K165" t="str">
        <f>IF(LEN(A165)&gt;0,_xlfn.IFNA(_xlfn.XLOOKUP(A165,FHIR!M:M,FHIR!E:E),""),"")</f>
        <v/>
      </c>
      <c r="L165" s="11" t="s">
        <v>992</v>
      </c>
      <c r="M165" s="15" t="str">
        <f t="shared" si="6"/>
        <v/>
      </c>
      <c r="N165" s="11" t="s">
        <v>992</v>
      </c>
      <c r="O165" s="11"/>
      <c r="P165" s="11"/>
      <c r="R165" t="str">
        <f>IF(LEN(A165)&gt;0,_xlfn.IFNA(_xlfn.XLOOKUP(A165,'KOS SR'!X:X,'KOS SR'!N:N),""),"")</f>
        <v/>
      </c>
      <c r="X165"/>
    </row>
    <row r="166" spans="1:24" ht="18.75" thickTop="1" thickBot="1" x14ac:dyDescent="0.35">
      <c r="H166" s="11" t="s">
        <v>992</v>
      </c>
      <c r="I166" t="str">
        <f t="shared" si="5"/>
        <v/>
      </c>
      <c r="J166" s="33" t="s">
        <v>992</v>
      </c>
      <c r="K166" t="str">
        <f>IF(LEN(A166)&gt;0,_xlfn.IFNA(_xlfn.XLOOKUP(A166,FHIR!M:M,FHIR!E:E),""),"")</f>
        <v/>
      </c>
      <c r="L166" s="11" t="s">
        <v>992</v>
      </c>
      <c r="M166" s="15" t="str">
        <f t="shared" si="6"/>
        <v/>
      </c>
      <c r="N166" s="11" t="s">
        <v>992</v>
      </c>
      <c r="O166" s="11"/>
      <c r="P166" s="11"/>
      <c r="R166" t="str">
        <f>IF(LEN(A166)&gt;0,_xlfn.IFNA(_xlfn.XLOOKUP(A166,'KOS SR'!X:X,'KOS SR'!N:N),""),"")</f>
        <v/>
      </c>
      <c r="X166"/>
    </row>
    <row r="167" spans="1:24" ht="18.75" thickTop="1" thickBot="1" x14ac:dyDescent="0.35">
      <c r="H167" s="11" t="s">
        <v>992</v>
      </c>
      <c r="I167" t="str">
        <f t="shared" si="5"/>
        <v/>
      </c>
      <c r="J167" s="33" t="s">
        <v>992</v>
      </c>
      <c r="K167" t="str">
        <f>IF(LEN(A167)&gt;0,_xlfn.IFNA(_xlfn.XLOOKUP(A167,FHIR!M:M,FHIR!E:E),""),"")</f>
        <v/>
      </c>
      <c r="L167" s="11" t="s">
        <v>992</v>
      </c>
      <c r="M167" s="15" t="str">
        <f t="shared" si="6"/>
        <v/>
      </c>
      <c r="N167" s="11" t="s">
        <v>992</v>
      </c>
      <c r="O167" s="11"/>
      <c r="P167" s="11"/>
      <c r="R167" t="str">
        <f>IF(LEN(A167)&gt;0,_xlfn.IFNA(_xlfn.XLOOKUP(A167,'KOS SR'!X:X,'KOS SR'!N:N),""),"")</f>
        <v/>
      </c>
      <c r="X167"/>
    </row>
    <row r="168" spans="1:24" ht="18.75" thickTop="1" thickBot="1" x14ac:dyDescent="0.35">
      <c r="H168" s="11" t="s">
        <v>992</v>
      </c>
      <c r="I168" t="str">
        <f t="shared" si="5"/>
        <v/>
      </c>
      <c r="J168" s="33" t="s">
        <v>992</v>
      </c>
      <c r="K168" t="str">
        <f>IF(LEN(A168)&gt;0,_xlfn.IFNA(_xlfn.XLOOKUP(A168,FHIR!M:M,FHIR!E:E),""),"")</f>
        <v/>
      </c>
      <c r="L168" s="11" t="s">
        <v>992</v>
      </c>
      <c r="M168" s="15" t="str">
        <f t="shared" si="6"/>
        <v/>
      </c>
      <c r="N168" s="11" t="s">
        <v>992</v>
      </c>
      <c r="O168" s="11"/>
      <c r="P168" s="11"/>
      <c r="R168" t="str">
        <f>IF(LEN(A168)&gt;0,_xlfn.IFNA(_xlfn.XLOOKUP(A168,'KOS SR'!X:X,'KOS SR'!N:N),""),"")</f>
        <v/>
      </c>
      <c r="X168"/>
    </row>
    <row r="169" spans="1:24" ht="18.75" thickTop="1" thickBot="1" x14ac:dyDescent="0.35">
      <c r="H169" s="11" t="s">
        <v>992</v>
      </c>
      <c r="I169" t="str">
        <f t="shared" si="5"/>
        <v/>
      </c>
      <c r="J169" s="33" t="s">
        <v>992</v>
      </c>
      <c r="K169" t="str">
        <f>IF(LEN(A169)&gt;0,_xlfn.IFNA(_xlfn.XLOOKUP(A169,FHIR!M:M,FHIR!E:E),""),"")</f>
        <v/>
      </c>
      <c r="L169" s="11" t="s">
        <v>992</v>
      </c>
      <c r="M169" s="15" t="str">
        <f t="shared" si="6"/>
        <v/>
      </c>
      <c r="N169" s="11" t="s">
        <v>992</v>
      </c>
      <c r="O169" s="11"/>
      <c r="P169" s="11"/>
      <c r="R169" t="str">
        <f>IF(LEN(A169)&gt;0,_xlfn.IFNA(_xlfn.XLOOKUP(A169,'KOS SR'!X:X,'KOS SR'!N:N),""),"")</f>
        <v/>
      </c>
      <c r="X169"/>
    </row>
    <row r="170" spans="1:24" ht="18.75" thickTop="1" thickBot="1" x14ac:dyDescent="0.35">
      <c r="H170" s="11" t="s">
        <v>992</v>
      </c>
      <c r="I170" t="str">
        <f t="shared" si="5"/>
        <v/>
      </c>
      <c r="J170" s="33" t="s">
        <v>992</v>
      </c>
      <c r="K170" t="str">
        <f>IF(LEN(A170)&gt;0,_xlfn.IFNA(_xlfn.XLOOKUP(A170,FHIR!M:M,FHIR!E:E),""),"")</f>
        <v/>
      </c>
      <c r="L170" s="11" t="s">
        <v>992</v>
      </c>
      <c r="M170" s="15" t="str">
        <f t="shared" si="6"/>
        <v/>
      </c>
      <c r="N170" s="11" t="s">
        <v>992</v>
      </c>
      <c r="O170" s="11"/>
      <c r="P170" s="11"/>
      <c r="R170" t="str">
        <f>IF(LEN(A170)&gt;0,_xlfn.IFNA(_xlfn.XLOOKUP(A170,'KOS SR'!X:X,'KOS SR'!N:N),""),"")</f>
        <v/>
      </c>
      <c r="X170"/>
    </row>
    <row r="171" spans="1:24" ht="18.75" thickTop="1" thickBot="1" x14ac:dyDescent="0.35">
      <c r="H171" s="11" t="s">
        <v>992</v>
      </c>
      <c r="I171" t="str">
        <f t="shared" si="5"/>
        <v/>
      </c>
      <c r="J171" s="33" t="s">
        <v>992</v>
      </c>
      <c r="K171" t="str">
        <f>IF(LEN(A171)&gt;0,_xlfn.IFNA(_xlfn.XLOOKUP(A171,FHIR!M:M,FHIR!E:E),""),"")</f>
        <v/>
      </c>
      <c r="L171" s="11" t="s">
        <v>992</v>
      </c>
      <c r="M171" s="15" t="str">
        <f t="shared" si="6"/>
        <v/>
      </c>
      <c r="N171" s="11" t="s">
        <v>992</v>
      </c>
      <c r="O171" s="11"/>
      <c r="P171" s="11"/>
      <c r="R171" t="str">
        <f>IF(LEN(A171)&gt;0,_xlfn.IFNA(_xlfn.XLOOKUP(A171,'KOS SR'!X:X,'KOS SR'!N:N),""),"")</f>
        <v/>
      </c>
      <c r="X171"/>
    </row>
    <row r="172" spans="1:24" ht="18.75" thickTop="1" thickBot="1" x14ac:dyDescent="0.35">
      <c r="H172" s="11" t="s">
        <v>992</v>
      </c>
      <c r="I172" t="str">
        <f t="shared" si="5"/>
        <v/>
      </c>
      <c r="J172" s="33" t="s">
        <v>992</v>
      </c>
      <c r="K172" t="str">
        <f>IF(LEN(A172)&gt;0,_xlfn.IFNA(_xlfn.XLOOKUP(A172,FHIR!M:M,FHIR!E:E),""),"")</f>
        <v/>
      </c>
      <c r="L172" s="11" t="s">
        <v>992</v>
      </c>
      <c r="M172" s="15" t="str">
        <f t="shared" si="6"/>
        <v/>
      </c>
      <c r="N172" s="11" t="s">
        <v>992</v>
      </c>
      <c r="O172" s="11"/>
      <c r="P172" s="11"/>
      <c r="R172" t="str">
        <f>IF(LEN(A172)&gt;0,_xlfn.IFNA(_xlfn.XLOOKUP(A172,'KOS SR'!X:X,'KOS SR'!N:N),""),"")</f>
        <v/>
      </c>
      <c r="X172"/>
    </row>
    <row r="173" spans="1:24" ht="18.75" thickTop="1" thickBot="1" x14ac:dyDescent="0.35">
      <c r="H173" s="11" t="s">
        <v>992</v>
      </c>
      <c r="I173" t="str">
        <f t="shared" si="5"/>
        <v/>
      </c>
      <c r="J173" s="33" t="s">
        <v>992</v>
      </c>
      <c r="K173" t="str">
        <f>IF(LEN(A173)&gt;0,_xlfn.IFNA(_xlfn.XLOOKUP(A173,FHIR!M:M,FHIR!E:E),""),"")</f>
        <v/>
      </c>
      <c r="L173" s="11" t="s">
        <v>992</v>
      </c>
      <c r="M173" s="15" t="str">
        <f t="shared" si="6"/>
        <v/>
      </c>
      <c r="N173" s="11" t="s">
        <v>992</v>
      </c>
      <c r="O173" s="11"/>
      <c r="P173" s="11"/>
      <c r="R173" t="str">
        <f>IF(LEN(A173)&gt;0,_xlfn.IFNA(_xlfn.XLOOKUP(A173,'KOS SR'!X:X,'KOS SR'!N:N),""),"")</f>
        <v/>
      </c>
      <c r="X173"/>
    </row>
    <row r="174" spans="1:24" ht="18.75" thickTop="1" thickBot="1" x14ac:dyDescent="0.35">
      <c r="H174" s="11" t="s">
        <v>992</v>
      </c>
      <c r="I174" t="str">
        <f t="shared" si="5"/>
        <v/>
      </c>
      <c r="J174" s="33" t="s">
        <v>992</v>
      </c>
      <c r="K174" t="str">
        <f>IF(LEN(A174)&gt;0,_xlfn.IFNA(_xlfn.XLOOKUP(A174,FHIR!M:M,FHIR!E:E),""),"")</f>
        <v/>
      </c>
      <c r="L174" s="11" t="s">
        <v>992</v>
      </c>
      <c r="M174" s="15" t="str">
        <f t="shared" si="6"/>
        <v/>
      </c>
      <c r="N174" s="11" t="s">
        <v>992</v>
      </c>
      <c r="O174" s="11"/>
      <c r="P174" s="11"/>
      <c r="R174" t="str">
        <f>IF(LEN(A174)&gt;0,_xlfn.IFNA(_xlfn.XLOOKUP(A174,'KOS SR'!X:X,'KOS SR'!N:N),""),"")</f>
        <v/>
      </c>
      <c r="X174"/>
    </row>
    <row r="175" spans="1:24" ht="18.75" thickTop="1" thickBot="1" x14ac:dyDescent="0.35">
      <c r="H175" s="11" t="s">
        <v>992</v>
      </c>
      <c r="I175" t="str">
        <f t="shared" si="5"/>
        <v/>
      </c>
      <c r="J175" s="33" t="s">
        <v>992</v>
      </c>
      <c r="K175" t="str">
        <f>IF(LEN(A175)&gt;0,_xlfn.IFNA(_xlfn.XLOOKUP(A175,FHIR!M:M,FHIR!E:E),""),"")</f>
        <v/>
      </c>
      <c r="L175" s="11" t="s">
        <v>992</v>
      </c>
      <c r="M175" s="15" t="str">
        <f t="shared" si="6"/>
        <v/>
      </c>
      <c r="N175" s="11" t="s">
        <v>992</v>
      </c>
      <c r="O175" s="11"/>
      <c r="P175" s="11"/>
      <c r="R175" t="str">
        <f>IF(LEN(A175)&gt;0,_xlfn.IFNA(_xlfn.XLOOKUP(A175,'KOS SR'!X:X,'KOS SR'!N:N),""),"")</f>
        <v/>
      </c>
      <c r="X175"/>
    </row>
    <row r="176" spans="1:24" ht="18.75" thickTop="1" thickBot="1" x14ac:dyDescent="0.35">
      <c r="H176" s="11" t="s">
        <v>992</v>
      </c>
      <c r="I176" t="str">
        <f t="shared" si="5"/>
        <v/>
      </c>
      <c r="J176" s="33" t="s">
        <v>992</v>
      </c>
      <c r="K176" t="str">
        <f>IF(LEN(A176)&gt;0,_xlfn.IFNA(_xlfn.XLOOKUP(A176,FHIR!M:M,FHIR!E:E),""),"")</f>
        <v/>
      </c>
      <c r="L176" s="11" t="s">
        <v>992</v>
      </c>
      <c r="M176" s="15" t="str">
        <f t="shared" si="6"/>
        <v/>
      </c>
      <c r="N176" s="11" t="s">
        <v>992</v>
      </c>
      <c r="O176" s="11"/>
      <c r="P176" s="11"/>
      <c r="R176" t="str">
        <f>IF(LEN(A176)&gt;0,_xlfn.IFNA(_xlfn.XLOOKUP(A176,'KOS SR'!X:X,'KOS SR'!N:N),""),"")</f>
        <v/>
      </c>
      <c r="X176"/>
    </row>
    <row r="177" spans="8:24" ht="18.75" thickTop="1" thickBot="1" x14ac:dyDescent="0.35">
      <c r="H177" s="11" t="s">
        <v>992</v>
      </c>
      <c r="I177" t="str">
        <f t="shared" si="5"/>
        <v/>
      </c>
      <c r="J177" s="33" t="s">
        <v>992</v>
      </c>
      <c r="K177" t="str">
        <f>IF(LEN(A177)&gt;0,_xlfn.IFNA(_xlfn.XLOOKUP(A177,FHIR!M:M,FHIR!E:E),""),"")</f>
        <v/>
      </c>
      <c r="L177" s="11" t="s">
        <v>992</v>
      </c>
      <c r="M177" s="15" t="str">
        <f t="shared" si="6"/>
        <v/>
      </c>
      <c r="N177" s="11" t="s">
        <v>992</v>
      </c>
      <c r="O177" s="11"/>
      <c r="P177" s="11"/>
      <c r="R177" t="str">
        <f>IF(LEN(A177)&gt;0,_xlfn.IFNA(_xlfn.XLOOKUP(A177,'KOS SR'!X:X,'KOS SR'!N:N),""),"")</f>
        <v/>
      </c>
      <c r="X177"/>
    </row>
    <row r="178" spans="8:24" ht="18.75" thickTop="1" thickBot="1" x14ac:dyDescent="0.35">
      <c r="H178" s="11" t="s">
        <v>992</v>
      </c>
      <c r="I178" t="str">
        <f t="shared" si="5"/>
        <v/>
      </c>
      <c r="J178" s="33" t="s">
        <v>992</v>
      </c>
      <c r="K178" s="3" t="str">
        <f>IF(LEN(A178)&gt;0,_xlfn.IFNA(_xlfn.XLOOKUP(A178,FHIR!M:M,FHIR!E:E),""),"")</f>
        <v/>
      </c>
      <c r="L178" s="11" t="s">
        <v>992</v>
      </c>
      <c r="M178" s="15" t="str">
        <f t="shared" si="6"/>
        <v/>
      </c>
      <c r="N178" s="11" t="s">
        <v>992</v>
      </c>
      <c r="O178" s="11"/>
      <c r="P178" s="11"/>
      <c r="R178" t="str">
        <f>IF(LEN(A178)&gt;0,_xlfn.IFNA(_xlfn.XLOOKUP(A178,'KOS SR'!X:X,'KOS SR'!N:N),""),"")</f>
        <v/>
      </c>
    </row>
    <row r="179" spans="8:24" ht="18.75" thickTop="1" thickBot="1" x14ac:dyDescent="0.35">
      <c r="H179" s="11" t="s">
        <v>992</v>
      </c>
      <c r="I179" t="str">
        <f t="shared" si="5"/>
        <v/>
      </c>
      <c r="J179" s="33" t="s">
        <v>992</v>
      </c>
      <c r="K179" s="3" t="str">
        <f>IF(LEN(A179)&gt;0,_xlfn.IFNA(_xlfn.XLOOKUP(A179,FHIR!M:M,FHIR!E:E),""),"")</f>
        <v/>
      </c>
      <c r="L179" s="11" t="s">
        <v>992</v>
      </c>
      <c r="M179" s="15" t="str">
        <f t="shared" si="6"/>
        <v/>
      </c>
      <c r="N179" s="11" t="s">
        <v>992</v>
      </c>
      <c r="O179" s="11"/>
      <c r="P179" s="11"/>
      <c r="R179" t="str">
        <f>IF(LEN(A179)&gt;0,_xlfn.IFNA(_xlfn.XLOOKUP(A179,'KOS SR'!X:X,'KOS SR'!N:N),""),"")</f>
        <v/>
      </c>
    </row>
    <row r="180" spans="8:24" ht="18.75" thickTop="1" thickBot="1" x14ac:dyDescent="0.35">
      <c r="H180" s="11" t="s">
        <v>992</v>
      </c>
      <c r="I180" t="str">
        <f t="shared" si="5"/>
        <v/>
      </c>
      <c r="J180" s="33" t="s">
        <v>992</v>
      </c>
      <c r="K180" s="3" t="str">
        <f>IF(LEN(A180)&gt;0,_xlfn.IFNA(_xlfn.XLOOKUP(A180,FHIR!M:M,FHIR!E:E),""),"")</f>
        <v/>
      </c>
      <c r="L180" s="11" t="s">
        <v>992</v>
      </c>
      <c r="M180" s="15" t="str">
        <f t="shared" si="6"/>
        <v/>
      </c>
      <c r="N180" s="11" t="s">
        <v>992</v>
      </c>
      <c r="O180" s="11"/>
      <c r="P180" s="11"/>
      <c r="R180" t="str">
        <f>IF(LEN(A180)&gt;0,_xlfn.IFNA(_xlfn.XLOOKUP(A180,'KOS SR'!X:X,'KOS SR'!N:N),""),"")</f>
        <v/>
      </c>
    </row>
    <row r="181" spans="8:24" ht="18.75" thickTop="1" thickBot="1" x14ac:dyDescent="0.35">
      <c r="H181" s="11" t="s">
        <v>992</v>
      </c>
      <c r="I181" t="str">
        <f t="shared" si="5"/>
        <v/>
      </c>
      <c r="J181" s="33" t="s">
        <v>992</v>
      </c>
      <c r="K181" s="3" t="str">
        <f>IF(LEN(A181)&gt;0,_xlfn.IFNA(_xlfn.XLOOKUP(A181,FHIR!M:M,FHIR!E:E),""),"")</f>
        <v/>
      </c>
      <c r="L181" s="11" t="s">
        <v>992</v>
      </c>
      <c r="M181" s="15" t="str">
        <f t="shared" si="6"/>
        <v/>
      </c>
      <c r="N181" s="11" t="s">
        <v>992</v>
      </c>
      <c r="O181" s="11"/>
      <c r="P181" s="11"/>
      <c r="R181" t="str">
        <f>IF(LEN(A181)&gt;0,_xlfn.IFNA(_xlfn.XLOOKUP(A181,'KOS SR'!X:X,'KOS SR'!N:N),""),"")</f>
        <v/>
      </c>
    </row>
    <row r="182" spans="8:24" ht="18.75" thickTop="1" thickBot="1" x14ac:dyDescent="0.35">
      <c r="H182" s="11" t="s">
        <v>992</v>
      </c>
      <c r="I182" t="str">
        <f t="shared" si="5"/>
        <v/>
      </c>
      <c r="J182" s="33" t="s">
        <v>992</v>
      </c>
      <c r="K182" s="3" t="str">
        <f>IF(LEN(A182)&gt;0,_xlfn.IFNA(_xlfn.XLOOKUP(A182,FHIR!M:M,FHIR!E:E),""),"")</f>
        <v/>
      </c>
      <c r="L182" s="11" t="s">
        <v>992</v>
      </c>
      <c r="M182" s="15" t="str">
        <f t="shared" si="6"/>
        <v/>
      </c>
      <c r="N182" s="11" t="s">
        <v>992</v>
      </c>
      <c r="O182" s="11"/>
      <c r="P182" s="11"/>
      <c r="R182" t="str">
        <f>IF(LEN(A182)&gt;0,_xlfn.IFNA(_xlfn.XLOOKUP(A182,'KOS SR'!X:X,'KOS SR'!N:N),""),"")</f>
        <v/>
      </c>
    </row>
    <row r="183" spans="8:24" ht="18.75" thickTop="1" thickBot="1" x14ac:dyDescent="0.35">
      <c r="H183" s="11" t="s">
        <v>992</v>
      </c>
      <c r="I183" t="str">
        <f t="shared" si="5"/>
        <v/>
      </c>
      <c r="J183" s="33" t="s">
        <v>992</v>
      </c>
      <c r="K183" s="3" t="str">
        <f>IF(LEN(A183)&gt;0,_xlfn.IFNA(_xlfn.XLOOKUP(A183,FHIR!M:M,FHIR!E:E),""),"")</f>
        <v/>
      </c>
      <c r="L183" s="11" t="s">
        <v>992</v>
      </c>
      <c r="M183" s="15" t="str">
        <f t="shared" si="6"/>
        <v/>
      </c>
      <c r="N183" s="11" t="s">
        <v>992</v>
      </c>
      <c r="O183" s="11"/>
      <c r="P183" s="11"/>
      <c r="R183" t="str">
        <f>IF(LEN(A183)&gt;0,_xlfn.IFNA(_xlfn.XLOOKUP(A183,'KOS SR'!X:X,'KOS SR'!N:N),""),"")</f>
        <v/>
      </c>
    </row>
    <row r="184" spans="8:24" ht="18.75" thickTop="1" thickBot="1" x14ac:dyDescent="0.35">
      <c r="H184" s="11" t="s">
        <v>992</v>
      </c>
      <c r="I184" t="str">
        <f t="shared" si="5"/>
        <v/>
      </c>
      <c r="J184" s="33" t="s">
        <v>992</v>
      </c>
      <c r="L184" s="11" t="s">
        <v>992</v>
      </c>
      <c r="N184" s="11" t="s">
        <v>992</v>
      </c>
      <c r="O184" s="11"/>
      <c r="P184" s="11"/>
      <c r="R184" t="str">
        <f>IF(LEN(A184)&gt;0,_xlfn.IFNA(_xlfn.XLOOKUP(A184,'KOS SR'!X:X,'KOS SR'!N:N),""),"")</f>
        <v/>
      </c>
    </row>
    <row r="185" spans="8:24" ht="18.75" thickTop="1" thickBot="1" x14ac:dyDescent="0.35">
      <c r="H185" s="11" t="s">
        <v>992</v>
      </c>
      <c r="I185" t="str">
        <f t="shared" si="5"/>
        <v/>
      </c>
      <c r="J185" s="33" t="s">
        <v>992</v>
      </c>
      <c r="L185" s="11" t="s">
        <v>992</v>
      </c>
      <c r="N185" s="11" t="s">
        <v>992</v>
      </c>
      <c r="O185" s="11"/>
      <c r="P185" s="11"/>
      <c r="R185" t="str">
        <f>IF(LEN(A185)&gt;0,_xlfn.IFNA(_xlfn.XLOOKUP(A185,'KOS SR'!X:X,'KOS SR'!N:N),""),"")</f>
        <v/>
      </c>
    </row>
    <row r="186" spans="8:24" ht="18.75" thickTop="1" thickBot="1" x14ac:dyDescent="0.35">
      <c r="H186" s="11" t="s">
        <v>992</v>
      </c>
      <c r="I186" t="str">
        <f t="shared" si="5"/>
        <v/>
      </c>
      <c r="J186" s="33" t="s">
        <v>992</v>
      </c>
      <c r="L186" s="11" t="s">
        <v>992</v>
      </c>
      <c r="N186" s="11" t="s">
        <v>992</v>
      </c>
      <c r="O186" s="11"/>
      <c r="P186" s="11"/>
      <c r="R186" t="str">
        <f>IF(LEN(A186)&gt;0,_xlfn.IFNA(_xlfn.XLOOKUP(A186,'KOS SR'!X:X,'KOS SR'!N:N),""),"")</f>
        <v/>
      </c>
    </row>
    <row r="187" spans="8:24" ht="18.75" thickTop="1" thickBot="1" x14ac:dyDescent="0.35">
      <c r="H187" s="11" t="s">
        <v>992</v>
      </c>
      <c r="I187" t="str">
        <f t="shared" si="5"/>
        <v/>
      </c>
      <c r="J187" s="33" t="s">
        <v>992</v>
      </c>
      <c r="L187" s="11" t="s">
        <v>992</v>
      </c>
      <c r="N187" s="11" t="s">
        <v>992</v>
      </c>
      <c r="O187" s="11"/>
      <c r="P187" s="11"/>
      <c r="R187" t="str">
        <f>IF(LEN(A187)&gt;0,_xlfn.IFNA(_xlfn.XLOOKUP(A187,'KOS SR'!X:X,'KOS SR'!N:N),""),"")</f>
        <v/>
      </c>
    </row>
    <row r="188" spans="8:24" ht="18.75" thickTop="1" thickBot="1" x14ac:dyDescent="0.35">
      <c r="H188" s="11" t="s">
        <v>992</v>
      </c>
      <c r="I188" t="str">
        <f t="shared" si="5"/>
        <v/>
      </c>
      <c r="J188" s="33" t="s">
        <v>992</v>
      </c>
      <c r="L188" s="11" t="s">
        <v>992</v>
      </c>
      <c r="N188" s="11" t="s">
        <v>992</v>
      </c>
      <c r="O188" s="11"/>
      <c r="P188" s="11"/>
      <c r="R188" t="str">
        <f>IF(LEN(A188)&gt;0,_xlfn.IFNA(_xlfn.XLOOKUP(A188,'KOS SR'!X:X,'KOS SR'!N:N),""),"")</f>
        <v/>
      </c>
    </row>
    <row r="189" spans="8:24" ht="18.75" thickTop="1" thickBot="1" x14ac:dyDescent="0.35">
      <c r="H189" s="11" t="s">
        <v>992</v>
      </c>
      <c r="I189" t="str">
        <f t="shared" si="5"/>
        <v/>
      </c>
      <c r="J189" s="33" t="s">
        <v>992</v>
      </c>
      <c r="L189" s="11" t="s">
        <v>992</v>
      </c>
      <c r="N189" s="11" t="s">
        <v>992</v>
      </c>
      <c r="O189" s="11"/>
      <c r="P189" s="11"/>
      <c r="R189" t="str">
        <f>IF(LEN(A189)&gt;0,_xlfn.IFNA(_xlfn.XLOOKUP(A189,'KOS SR'!X:X,'KOS SR'!N:N),""),"")</f>
        <v/>
      </c>
    </row>
    <row r="190" spans="8:24" ht="18.75" thickTop="1" thickBot="1" x14ac:dyDescent="0.35">
      <c r="H190" s="11" t="s">
        <v>992</v>
      </c>
      <c r="I190" t="str">
        <f t="shared" si="5"/>
        <v/>
      </c>
      <c r="J190" s="33" t="s">
        <v>992</v>
      </c>
      <c r="L190" s="11" t="s">
        <v>992</v>
      </c>
      <c r="N190" s="11" t="s">
        <v>992</v>
      </c>
      <c r="O190" s="11"/>
      <c r="P190" s="11"/>
      <c r="R190" t="str">
        <f>IF(LEN(A190)&gt;0,_xlfn.IFNA(_xlfn.XLOOKUP(A190,'KOS SR'!X:X,'KOS SR'!N:N),""),"")</f>
        <v/>
      </c>
    </row>
    <row r="191" spans="8:24" ht="18.75" thickTop="1" thickBot="1" x14ac:dyDescent="0.35">
      <c r="H191" s="11" t="s">
        <v>992</v>
      </c>
      <c r="I191" t="str">
        <f t="shared" si="5"/>
        <v/>
      </c>
      <c r="J191" s="33" t="s">
        <v>992</v>
      </c>
      <c r="L191" s="11" t="s">
        <v>992</v>
      </c>
      <c r="N191" s="11" t="s">
        <v>992</v>
      </c>
      <c r="O191" s="11"/>
      <c r="P191" s="11"/>
      <c r="R191" t="str">
        <f>IF(LEN(A191)&gt;0,_xlfn.IFNA(_xlfn.XLOOKUP(A191,'KOS SR'!X:X,'KOS SR'!N:N),""),"")</f>
        <v/>
      </c>
    </row>
    <row r="192" spans="8:24" ht="18.75" thickTop="1" thickBot="1" x14ac:dyDescent="0.35">
      <c r="H192" s="11" t="s">
        <v>992</v>
      </c>
      <c r="I192" t="str">
        <f t="shared" si="5"/>
        <v/>
      </c>
      <c r="J192" s="33" t="s">
        <v>992</v>
      </c>
      <c r="L192" s="11" t="s">
        <v>992</v>
      </c>
      <c r="N192" s="11" t="s">
        <v>992</v>
      </c>
      <c r="O192" s="11"/>
      <c r="P192" s="11"/>
      <c r="R192" t="str">
        <f>IF(LEN(A192)&gt;0,_xlfn.IFNA(_xlfn.XLOOKUP(A192,'KOS SR'!X:X,'KOS SR'!N:N),""),"")</f>
        <v/>
      </c>
    </row>
    <row r="193" spans="9:18" ht="15.75" thickTop="1" x14ac:dyDescent="0.25">
      <c r="I193" t="str">
        <f t="shared" si="5"/>
        <v/>
      </c>
      <c r="R193" t="str">
        <f>IF(LEN(A193)&gt;0,_xlfn.IFNA(_xlfn.XLOOKUP(A193,'KOS SR'!X:X,'KOS SR'!N:N),""),"")</f>
        <v/>
      </c>
    </row>
    <row r="194" spans="9:18" x14ac:dyDescent="0.25">
      <c r="I194" t="str">
        <f t="shared" si="5"/>
        <v/>
      </c>
      <c r="R194" t="str">
        <f>IF(LEN(A194)&gt;0,_xlfn.IFNA(_xlfn.XLOOKUP(A194,'KOS SR'!X:X,'KOS SR'!N:N),""),"")</f>
        <v/>
      </c>
    </row>
    <row r="195" spans="9:18" x14ac:dyDescent="0.25">
      <c r="I195" t="str">
        <f t="shared" si="5"/>
        <v/>
      </c>
      <c r="R195" t="str">
        <f>IF(LEN(A195)&gt;0,_xlfn.IFNA(_xlfn.XLOOKUP(A195,'KOS SR'!X:X,'KOS SR'!N:N),""),"")</f>
        <v/>
      </c>
    </row>
    <row r="196" spans="9:18" x14ac:dyDescent="0.25">
      <c r="I196" t="str">
        <f t="shared" si="5"/>
        <v/>
      </c>
      <c r="R196" t="str">
        <f>IF(LEN(A196)&gt;0,_xlfn.IFNA(_xlfn.XLOOKUP(A196,'KOS SR'!X:X,'KOS SR'!N:N),""),"")</f>
        <v/>
      </c>
    </row>
    <row r="197" spans="9:18" x14ac:dyDescent="0.25">
      <c r="I197" t="str">
        <f t="shared" si="5"/>
        <v/>
      </c>
      <c r="R197" t="str">
        <f>IF(LEN(A197)&gt;0,_xlfn.IFNA(_xlfn.XLOOKUP(A197,'KOS SR'!X:X,'KOS SR'!N:N),""),"")</f>
        <v/>
      </c>
    </row>
    <row r="198" spans="9:18" x14ac:dyDescent="0.25">
      <c r="I198" t="str">
        <f t="shared" si="5"/>
        <v/>
      </c>
      <c r="R198" t="str">
        <f>IF(LEN(A198)&gt;0,_xlfn.IFNA(_xlfn.XLOOKUP(A198,'KOS SR'!X:X,'KOS SR'!N:N),""),"")</f>
        <v/>
      </c>
    </row>
    <row r="199" spans="9:18" x14ac:dyDescent="0.25">
      <c r="I199" t="str">
        <f t="shared" si="5"/>
        <v/>
      </c>
      <c r="R199" t="str">
        <f>IF(LEN(A199)&gt;0,_xlfn.IFNA(_xlfn.XLOOKUP(A199,'KOS SR'!X:X,'KOS SR'!N:N),""),"")</f>
        <v/>
      </c>
    </row>
    <row r="200" spans="9:18" x14ac:dyDescent="0.25">
      <c r="I200" t="str">
        <f t="shared" si="5"/>
        <v/>
      </c>
      <c r="R200" t="str">
        <f>IF(LEN(A200)&gt;0,_xlfn.IFNA(_xlfn.XLOOKUP(A200,'KOS SR'!X:X,'KOS SR'!N:N),""),"")</f>
        <v/>
      </c>
    </row>
    <row r="201" spans="9:18" x14ac:dyDescent="0.25">
      <c r="I201" t="str">
        <f t="shared" si="5"/>
        <v/>
      </c>
      <c r="R201" t="str">
        <f>IF(LEN(A201)&gt;0,_xlfn.IFNA(_xlfn.XLOOKUP(A201,'KOS SR'!X:X,'KOS SR'!N:N),""),"")</f>
        <v/>
      </c>
    </row>
    <row r="202" spans="9:18" x14ac:dyDescent="0.25">
      <c r="I202" t="str">
        <f t="shared" si="5"/>
        <v/>
      </c>
      <c r="R202" t="str">
        <f>IF(LEN(A202)&gt;0,_xlfn.IFNA(_xlfn.XLOOKUP(A202,'KOS SR'!X:X,'KOS SR'!N:N),""),"")</f>
        <v/>
      </c>
    </row>
    <row r="203" spans="9:18" x14ac:dyDescent="0.25">
      <c r="I203" t="str">
        <f t="shared" si="5"/>
        <v/>
      </c>
      <c r="R203" t="str">
        <f>IF(LEN(A203)&gt;0,_xlfn.IFNA(_xlfn.XLOOKUP(A203,'KOS SR'!X:X,'KOS SR'!N:N),""),"")</f>
        <v/>
      </c>
    </row>
    <row r="204" spans="9:18" x14ac:dyDescent="0.25">
      <c r="I204" t="str">
        <f t="shared" si="5"/>
        <v/>
      </c>
      <c r="R204" t="str">
        <f>IF(LEN(A204)&gt;0,_xlfn.IFNA(_xlfn.XLOOKUP(A204,'KOS SR'!X:X,'KOS SR'!N:N),""),"")</f>
        <v/>
      </c>
    </row>
    <row r="205" spans="9:18" x14ac:dyDescent="0.25">
      <c r="I205" t="str">
        <f t="shared" si="5"/>
        <v/>
      </c>
      <c r="R205" t="str">
        <f>IF(LEN(A205)&gt;0,_xlfn.IFNA(_xlfn.XLOOKUP(A205,'KOS SR'!X:X,'KOS SR'!N:N),""),"")</f>
        <v/>
      </c>
    </row>
    <row r="206" spans="9:18" x14ac:dyDescent="0.25">
      <c r="I206" t="str">
        <f t="shared" si="5"/>
        <v/>
      </c>
      <c r="R206" t="str">
        <f>IF(LEN(A206)&gt;0,_xlfn.IFNA(_xlfn.XLOOKUP(A206,'KOS SR'!X:X,'KOS SR'!N:N),""),"")</f>
        <v/>
      </c>
    </row>
    <row r="207" spans="9:18" x14ac:dyDescent="0.25">
      <c r="I207" t="str">
        <f t="shared" si="5"/>
        <v/>
      </c>
      <c r="R207" t="str">
        <f>IF(LEN(A207)&gt;0,_xlfn.IFNA(_xlfn.XLOOKUP(A207,'KOS SR'!X:X,'KOS SR'!N:N),""),"")</f>
        <v/>
      </c>
    </row>
    <row r="208" spans="9:18" x14ac:dyDescent="0.25">
      <c r="I208" t="str">
        <f t="shared" ref="I208:I218" si="7">B208&amp;IF(LEN(TRIM(C208))&gt;0,"-","")&amp;C208</f>
        <v/>
      </c>
      <c r="R208" t="str">
        <f>IF(LEN(A208)&gt;0,_xlfn.IFNA(_xlfn.XLOOKUP(A208,'KOS SR'!X:X,'KOS SR'!N:N),""),"")</f>
        <v/>
      </c>
    </row>
    <row r="209" spans="9:18" x14ac:dyDescent="0.25">
      <c r="I209" t="str">
        <f t="shared" si="7"/>
        <v/>
      </c>
      <c r="R209" t="str">
        <f>IF(LEN(A209)&gt;0,_xlfn.IFNA(_xlfn.XLOOKUP(A209,'KOS SR'!X:X,'KOS SR'!N:N),""),"")</f>
        <v/>
      </c>
    </row>
    <row r="210" spans="9:18" x14ac:dyDescent="0.25">
      <c r="I210" t="str">
        <f t="shared" si="7"/>
        <v/>
      </c>
      <c r="R210" t="str">
        <f>IF(LEN(A210)&gt;0,_xlfn.IFNA(_xlfn.XLOOKUP(A210,'KOS SR'!X:X,'KOS SR'!N:N),""),"")</f>
        <v/>
      </c>
    </row>
    <row r="211" spans="9:18" x14ac:dyDescent="0.25">
      <c r="I211" t="str">
        <f t="shared" si="7"/>
        <v/>
      </c>
      <c r="R211" t="str">
        <f>IF(LEN(A211)&gt;0,_xlfn.IFNA(_xlfn.XLOOKUP(A211,'KOS SR'!X:X,'KOS SR'!N:N),""),"")</f>
        <v/>
      </c>
    </row>
    <row r="212" spans="9:18" x14ac:dyDescent="0.25">
      <c r="I212" t="str">
        <f t="shared" si="7"/>
        <v/>
      </c>
      <c r="R212" t="str">
        <f>IF(LEN(A212)&gt;0,_xlfn.IFNA(_xlfn.XLOOKUP(A212,'KOS SR'!X:X,'KOS SR'!N:N),""),"")</f>
        <v/>
      </c>
    </row>
    <row r="213" spans="9:18" x14ac:dyDescent="0.25">
      <c r="I213" t="str">
        <f t="shared" si="7"/>
        <v/>
      </c>
      <c r="R213" t="str">
        <f>IF(LEN(A213)&gt;0,_xlfn.IFNA(_xlfn.XLOOKUP(A213,'KOS SR'!X:X,'KOS SR'!N:N),""),"")</f>
        <v/>
      </c>
    </row>
    <row r="214" spans="9:18" x14ac:dyDescent="0.25">
      <c r="I214" t="str">
        <f t="shared" si="7"/>
        <v/>
      </c>
      <c r="R214" t="str">
        <f>IF(LEN(A214)&gt;0,_xlfn.IFNA(_xlfn.XLOOKUP(A214,'KOS SR'!X:X,'KOS SR'!N:N),""),"")</f>
        <v/>
      </c>
    </row>
    <row r="215" spans="9:18" x14ac:dyDescent="0.25">
      <c r="I215" t="str">
        <f t="shared" si="7"/>
        <v/>
      </c>
      <c r="R215" t="str">
        <f>IF(LEN(A215)&gt;0,_xlfn.IFNA(_xlfn.XLOOKUP(A215,'KOS SR'!X:X,'KOS SR'!N:N),""),"")</f>
        <v/>
      </c>
    </row>
    <row r="216" spans="9:18" x14ac:dyDescent="0.25">
      <c r="I216" t="str">
        <f t="shared" si="7"/>
        <v/>
      </c>
      <c r="R216" t="str">
        <f>IF(LEN(A216)&gt;0,_xlfn.IFNA(_xlfn.XLOOKUP(A216,'KOS SR'!X:X,'KOS SR'!N:N),""),"")</f>
        <v/>
      </c>
    </row>
    <row r="217" spans="9:18" x14ac:dyDescent="0.25">
      <c r="I217" t="str">
        <f t="shared" si="7"/>
        <v/>
      </c>
      <c r="R217" t="str">
        <f>IF(LEN(A217)&gt;0,_xlfn.IFNA(_xlfn.XLOOKUP(A217,'KOS SR'!X:X,'KOS SR'!N:N),""),"")</f>
        <v/>
      </c>
    </row>
    <row r="218" spans="9:18" x14ac:dyDescent="0.25">
      <c r="I218" t="str">
        <f t="shared" si="7"/>
        <v/>
      </c>
      <c r="R218" t="str">
        <f>IF(LEN(A218)&gt;0,_xlfn.IFNA(_xlfn.XLOOKUP(A218,'KOS SR'!X:X,'KOS SR'!N:N),""),"")</f>
        <v/>
      </c>
    </row>
    <row r="219" spans="9:18" x14ac:dyDescent="0.25">
      <c r="R219" t="str">
        <f>IF(LEN(A219)&gt;0,_xlfn.IFNA(_xlfn.XLOOKUP(A219,'KOS SR'!X:X,'KOS SR'!N:N),""),"")</f>
        <v/>
      </c>
    </row>
  </sheetData>
  <autoFilter ref="A1:AA183" xr:uid="{00000000-0001-0000-0000-000000000000}"/>
  <phoneticPr fontId="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BA5FA-2DC6-4ECF-832A-F637D3FDCF21}">
  <dimension ref="A1:AI320"/>
  <sheetViews>
    <sheetView zoomScale="85" zoomScaleNormal="85" workbookViewId="0">
      <pane xSplit="3" ySplit="1" topLeftCell="I82" activePane="bottomRight" state="frozen"/>
      <selection pane="topRight" activeCell="D1" sqref="D1"/>
      <selection pane="bottomLeft" activeCell="A2" sqref="A2"/>
      <selection pane="bottomRight" activeCell="N57" sqref="N57"/>
    </sheetView>
    <sheetView topLeftCell="A82" workbookViewId="1">
      <selection activeCell="F107" sqref="F107"/>
    </sheetView>
  </sheetViews>
  <sheetFormatPr defaultRowHeight="15" outlineLevelCol="1" x14ac:dyDescent="0.25"/>
  <cols>
    <col min="2" max="2" width="11.28515625" bestFit="1" customWidth="1"/>
    <col min="4" max="5" width="30.85546875" bestFit="1" customWidth="1"/>
    <col min="6" max="6" width="24.28515625" bestFit="1" customWidth="1"/>
    <col min="7" max="9" width="24.28515625" customWidth="1"/>
    <col min="14" max="14" width="103.42578125" customWidth="1"/>
    <col min="16" max="16" width="51.7109375" bestFit="1" customWidth="1" outlineLevel="1"/>
    <col min="18" max="18" width="25.5703125" customWidth="1" outlineLevel="1"/>
    <col min="21" max="21" width="6.85546875" customWidth="1" outlineLevel="1"/>
    <col min="22" max="23" width="9.140625" customWidth="1" outlineLevel="1"/>
    <col min="24" max="24" width="15.140625" customWidth="1" outlineLevel="1"/>
    <col min="25" max="25" width="13.42578125" customWidth="1" outlineLevel="1"/>
    <col min="26" max="26" width="15.85546875" customWidth="1"/>
    <col min="27" max="27" width="51" customWidth="1"/>
    <col min="28" max="28" width="26.85546875" bestFit="1" customWidth="1"/>
    <col min="29" max="29" width="26.5703125" bestFit="1" customWidth="1"/>
    <col min="31" max="31" width="35" bestFit="1" customWidth="1"/>
    <col min="32" max="32" width="19.5703125" bestFit="1" customWidth="1"/>
  </cols>
  <sheetData>
    <row r="1" spans="1:30" s="27" customFormat="1" ht="35.25" thickBot="1" x14ac:dyDescent="0.35">
      <c r="A1" s="32" t="s">
        <v>280</v>
      </c>
      <c r="B1" s="32" t="s">
        <v>281</v>
      </c>
      <c r="C1" s="32" t="s">
        <v>282</v>
      </c>
      <c r="D1" s="32"/>
      <c r="I1" s="27" t="s">
        <v>290</v>
      </c>
      <c r="J1" s="27" t="s">
        <v>283</v>
      </c>
      <c r="K1" s="27" t="s">
        <v>284</v>
      </c>
      <c r="M1" s="27" t="s">
        <v>992</v>
      </c>
      <c r="N1" s="27" t="s">
        <v>995</v>
      </c>
      <c r="O1" s="27" t="s">
        <v>992</v>
      </c>
      <c r="P1" s="27" t="s">
        <v>285</v>
      </c>
      <c r="Q1" s="27" t="s">
        <v>992</v>
      </c>
      <c r="R1" s="27" t="s">
        <v>578</v>
      </c>
      <c r="S1" s="27" t="s">
        <v>992</v>
      </c>
      <c r="U1" s="27" t="s">
        <v>578</v>
      </c>
      <c r="Z1" s="27" t="s">
        <v>285</v>
      </c>
    </row>
    <row r="2" spans="1:30" s="27" customFormat="1" ht="18.75" thickTop="1" thickBot="1" x14ac:dyDescent="0.35">
      <c r="A2" s="32"/>
      <c r="B2" s="32"/>
      <c r="C2" s="32"/>
      <c r="D2" s="32"/>
      <c r="M2" s="33" t="s">
        <v>992</v>
      </c>
      <c r="N2" s="33" t="s">
        <v>994</v>
      </c>
      <c r="O2" s="33" t="s">
        <v>992</v>
      </c>
      <c r="P2" s="11" t="s">
        <v>994</v>
      </c>
      <c r="Q2" s="33" t="s">
        <v>992</v>
      </c>
      <c r="R2" s="11" t="s">
        <v>994</v>
      </c>
      <c r="S2" s="33" t="s">
        <v>992</v>
      </c>
    </row>
    <row r="3" spans="1:30" ht="18.75" thickTop="1" thickBot="1" x14ac:dyDescent="0.35">
      <c r="A3" s="4" t="s">
        <v>77</v>
      </c>
      <c r="B3" s="4" t="s">
        <v>829</v>
      </c>
      <c r="C3" s="5" t="s">
        <v>286</v>
      </c>
      <c r="D3" s="4" t="s">
        <v>829</v>
      </c>
      <c r="E3" s="6"/>
      <c r="J3" s="6">
        <v>2</v>
      </c>
      <c r="K3" s="6" t="s">
        <v>288</v>
      </c>
      <c r="L3" s="6"/>
      <c r="M3" s="33" t="s">
        <v>992</v>
      </c>
      <c r="N3" s="6" t="str">
        <f>D3&amp;IF(LEN(E3)&gt;0,"-","")&amp;E3&amp;IF(LEN(F3)&gt;0,"-","")&amp;F3&amp;IF(LEN(G3)&gt;0,"-","")&amp;G3&amp;IF(LEN(H3)&gt;0,"-","")&amp;H3</f>
        <v>PatientModule</v>
      </c>
      <c r="O3" s="33" t="s">
        <v>992</v>
      </c>
      <c r="Q3" s="33" t="s">
        <v>992</v>
      </c>
      <c r="R3" s="11" t="str">
        <f>+V3</f>
        <v>EHDSImagingStudy.header.subject</v>
      </c>
      <c r="S3" s="33" t="s">
        <v>992</v>
      </c>
      <c r="T3" s="6"/>
      <c r="U3" t="s">
        <v>535</v>
      </c>
      <c r="V3" s="6" t="str">
        <f>_xlfn.IFNA(VLOOKUP($U3, XtEHR!A:F,2,FALSE)&amp;"."&amp;TRIM(VLOOKUP($U3, XtEHR!A:F,3,FALSE)),"-")</f>
        <v>EHDSImagingStudy.header.subject</v>
      </c>
      <c r="W3" s="6"/>
      <c r="X3" s="6"/>
      <c r="Y3" s="7"/>
      <c r="Z3" s="7"/>
      <c r="AA3" t="str">
        <f>IF(LEN(Z3)&gt;0,_xlfn.XLOOKUP(Z3,FHIR!A:A,FHIR!E:E),"")</f>
        <v/>
      </c>
    </row>
    <row r="4" spans="1:30" ht="18.75" thickTop="1" thickBot="1" x14ac:dyDescent="0.35">
      <c r="A4" s="4"/>
      <c r="B4" s="4" t="s">
        <v>829</v>
      </c>
      <c r="C4" s="5" t="s">
        <v>286</v>
      </c>
      <c r="D4" s="4" t="s">
        <v>829</v>
      </c>
      <c r="E4" s="6" t="s">
        <v>287</v>
      </c>
      <c r="J4" s="6">
        <v>2</v>
      </c>
      <c r="K4" s="6" t="s">
        <v>288</v>
      </c>
      <c r="L4" s="6"/>
      <c r="M4" s="33" t="s">
        <v>992</v>
      </c>
      <c r="N4" s="6" t="str">
        <f t="shared" ref="N4:N66" si="0">D4&amp;IF(LEN(E4)&gt;0,"-","")&amp;E4&amp;IF(LEN(F4)&gt;0,"-","")&amp;F4&amp;IF(LEN(G4)&gt;0,"-","")&amp;G4&amp;IF(LEN(H4)&gt;0,"-","")&amp;H4</f>
        <v>PatientModule-PatientName</v>
      </c>
      <c r="O4" s="33" t="s">
        <v>992</v>
      </c>
      <c r="P4" t="str">
        <f t="shared" ref="P4:P66" si="1">+AA4</f>
        <v>Patient.name</v>
      </c>
      <c r="Q4" s="33" t="s">
        <v>992</v>
      </c>
      <c r="R4" s="11" t="str">
        <f t="shared" ref="R4:R66" si="2">+V4</f>
        <v>EHDSPatient.name</v>
      </c>
      <c r="S4" s="33" t="s">
        <v>992</v>
      </c>
      <c r="T4" s="6"/>
      <c r="U4" s="3" t="s">
        <v>612</v>
      </c>
      <c r="V4" s="6" t="str">
        <f>_xlfn.IFNA(VLOOKUP($U4, XtEHR!A:F,2,FALSE)&amp;"."&amp;TRIM(VLOOKUP($U4, XtEHR!A:F,3,FALSE)),"-")</f>
        <v>EHDSPatient.name</v>
      </c>
      <c r="W4" s="6"/>
      <c r="X4" s="6"/>
      <c r="Y4" s="7"/>
      <c r="Z4" t="s">
        <v>719</v>
      </c>
      <c r="AA4" t="str">
        <f>IF(LEN(Z4)&gt;0,_xlfn.XLOOKUP(Z4,FHIR!A:A,FHIR!E:E),"")</f>
        <v>Patient.name</v>
      </c>
    </row>
    <row r="5" spans="1:30" ht="18.75" thickTop="1" thickBot="1" x14ac:dyDescent="0.35">
      <c r="A5" s="4"/>
      <c r="B5" s="4" t="s">
        <v>829</v>
      </c>
      <c r="C5" s="5"/>
      <c r="D5" s="4" t="s">
        <v>829</v>
      </c>
      <c r="E5" s="8" t="s">
        <v>289</v>
      </c>
      <c r="J5" s="8">
        <v>2</v>
      </c>
      <c r="K5" s="6" t="s">
        <v>288</v>
      </c>
      <c r="L5" s="6"/>
      <c r="M5" s="33" t="s">
        <v>992</v>
      </c>
      <c r="N5" s="6" t="str">
        <f t="shared" si="0"/>
        <v>PatientModule-Patient ID​</v>
      </c>
      <c r="O5" s="33" t="s">
        <v>992</v>
      </c>
      <c r="P5" t="str">
        <f t="shared" si="1"/>
        <v>Patient.identifier</v>
      </c>
      <c r="Q5" s="33" t="s">
        <v>992</v>
      </c>
      <c r="R5" s="11" t="str">
        <f t="shared" si="2"/>
        <v>EHDSPatient.identifier</v>
      </c>
      <c r="S5" s="33" t="s">
        <v>992</v>
      </c>
      <c r="T5" s="6"/>
      <c r="U5" s="3" t="s">
        <v>611</v>
      </c>
      <c r="V5" s="6" t="str">
        <f>_xlfn.IFNA(VLOOKUP($U5, XtEHR!A:F,2,FALSE)&amp;"."&amp;TRIM(VLOOKUP($U5, XtEHR!A:F,3,FALSE)),"-")</f>
        <v>EHDSPatient.identifier</v>
      </c>
      <c r="W5" s="6"/>
      <c r="X5" s="6"/>
      <c r="Y5" s="7"/>
      <c r="Z5" t="s">
        <v>718</v>
      </c>
      <c r="AA5" t="str">
        <f>IF(LEN(Z5)&gt;0,_xlfn.XLOOKUP(Z5,FHIR!A:A,FHIR!E:E),"")</f>
        <v>Patient.identifier</v>
      </c>
      <c r="AD5" t="s">
        <v>290</v>
      </c>
    </row>
    <row r="6" spans="1:30" ht="18.75" thickTop="1" thickBot="1" x14ac:dyDescent="0.35">
      <c r="A6" s="4"/>
      <c r="B6" s="4" t="s">
        <v>829</v>
      </c>
      <c r="C6" s="5"/>
      <c r="D6" s="4" t="s">
        <v>829</v>
      </c>
      <c r="E6" s="8" t="s">
        <v>291</v>
      </c>
      <c r="J6" s="8">
        <v>2</v>
      </c>
      <c r="K6" s="6" t="s">
        <v>288</v>
      </c>
      <c r="L6" s="6"/>
      <c r="M6" s="33" t="s">
        <v>992</v>
      </c>
      <c r="N6" s="6" t="str">
        <f t="shared" si="0"/>
        <v>PatientModule-Issuer of Patient ID</v>
      </c>
      <c r="O6" s="33" t="s">
        <v>992</v>
      </c>
      <c r="P6" t="str">
        <f t="shared" si="1"/>
        <v>Patient.identifier</v>
      </c>
      <c r="Q6" s="33" t="s">
        <v>992</v>
      </c>
      <c r="R6" s="11" t="str">
        <f t="shared" si="2"/>
        <v>EHDSPatient.identifier</v>
      </c>
      <c r="S6" s="33" t="s">
        <v>992</v>
      </c>
      <c r="T6" s="6"/>
      <c r="U6" s="3" t="s">
        <v>611</v>
      </c>
      <c r="V6" s="6" t="str">
        <f>_xlfn.IFNA(VLOOKUP($U6, XtEHR!A:F,2,FALSE)&amp;"."&amp;TRIM(VLOOKUP($U6, XtEHR!A:F,3,FALSE)),"-")</f>
        <v>EHDSPatient.identifier</v>
      </c>
      <c r="W6" s="6"/>
      <c r="X6" s="6"/>
      <c r="Y6" s="7"/>
      <c r="Z6" t="s">
        <v>718</v>
      </c>
      <c r="AA6" t="str">
        <f>IF(LEN(Z6)&gt;0,_xlfn.XLOOKUP(Z6,FHIR!A:A,FHIR!E:E),"")</f>
        <v>Patient.identifier</v>
      </c>
      <c r="AD6" t="s">
        <v>292</v>
      </c>
    </row>
    <row r="7" spans="1:30" ht="15.75" customHeight="1" thickTop="1" thickBot="1" x14ac:dyDescent="0.35">
      <c r="A7" s="4"/>
      <c r="B7" s="4" t="s">
        <v>829</v>
      </c>
      <c r="C7" s="5"/>
      <c r="D7" s="4" t="s">
        <v>829</v>
      </c>
      <c r="E7" s="8" t="s">
        <v>293</v>
      </c>
      <c r="J7" s="8"/>
      <c r="K7" s="8"/>
      <c r="L7" s="8"/>
      <c r="M7" s="33" t="s">
        <v>992</v>
      </c>
      <c r="N7" s="6" t="str">
        <f t="shared" si="0"/>
        <v>PatientModule-Issuer of Patient ID Qualifiers Sequence</v>
      </c>
      <c r="O7" s="33" t="s">
        <v>992</v>
      </c>
      <c r="P7" t="str">
        <f t="shared" si="1"/>
        <v>Patient.identifier</v>
      </c>
      <c r="Q7" s="33" t="s">
        <v>992</v>
      </c>
      <c r="R7" s="11" t="str">
        <f t="shared" si="2"/>
        <v>EHDSPatient.identifier</v>
      </c>
      <c r="S7" s="33" t="s">
        <v>992</v>
      </c>
      <c r="T7" s="8"/>
      <c r="U7" s="3" t="s">
        <v>611</v>
      </c>
      <c r="V7" s="6" t="str">
        <f>_xlfn.IFNA(VLOOKUP($U7, XtEHR!A:F,2,FALSE)&amp;"."&amp;TRIM(VLOOKUP($U7, XtEHR!A:F,3,FALSE)),"-")</f>
        <v>EHDSPatient.identifier</v>
      </c>
      <c r="W7" s="8"/>
      <c r="X7" s="8"/>
      <c r="Y7" s="7"/>
      <c r="Z7" t="s">
        <v>718</v>
      </c>
      <c r="AA7" t="str">
        <f>IF(LEN(Z7)&gt;0,_xlfn.XLOOKUP(Z7,FHIR!A:A,FHIR!E:E),"")</f>
        <v>Patient.identifier</v>
      </c>
    </row>
    <row r="8" spans="1:30" ht="18.75" thickTop="1" thickBot="1" x14ac:dyDescent="0.35">
      <c r="A8" s="4"/>
      <c r="B8" s="4" t="s">
        <v>829</v>
      </c>
      <c r="C8" s="5"/>
      <c r="D8" s="4" t="s">
        <v>829</v>
      </c>
      <c r="E8" s="9" t="s">
        <v>293</v>
      </c>
      <c r="F8" s="8" t="s">
        <v>294</v>
      </c>
      <c r="G8" s="8" t="s">
        <v>294</v>
      </c>
      <c r="H8" s="8"/>
      <c r="I8" s="8"/>
      <c r="J8" s="8"/>
      <c r="K8" s="8"/>
      <c r="L8" s="8"/>
      <c r="M8" s="33" t="s">
        <v>992</v>
      </c>
      <c r="N8" s="6" t="str">
        <f t="shared" si="0"/>
        <v>PatientModule-Issuer of Patient ID Qualifiers Sequence-Universal Entity ID-Universal Entity ID</v>
      </c>
      <c r="O8" s="33" t="s">
        <v>992</v>
      </c>
      <c r="P8" t="str">
        <f t="shared" si="1"/>
        <v>Patient.identifier</v>
      </c>
      <c r="Q8" s="33" t="s">
        <v>992</v>
      </c>
      <c r="R8" s="11" t="str">
        <f t="shared" si="2"/>
        <v>EHDSPatient.identifier</v>
      </c>
      <c r="S8" s="33" t="s">
        <v>992</v>
      </c>
      <c r="T8" s="8"/>
      <c r="U8" s="3" t="s">
        <v>611</v>
      </c>
      <c r="V8" s="6" t="str">
        <f>_xlfn.IFNA(VLOOKUP($U8, XtEHR!A:F,2,FALSE)&amp;"."&amp;TRIM(VLOOKUP($U8, XtEHR!A:F,3,FALSE)),"-")</f>
        <v>EHDSPatient.identifier</v>
      </c>
      <c r="W8" s="8"/>
      <c r="X8" s="8"/>
      <c r="Y8" s="7"/>
      <c r="Z8" t="s">
        <v>718</v>
      </c>
      <c r="AA8" t="str">
        <f>IF(LEN(Z8)&gt;0,_xlfn.XLOOKUP(Z8,FHIR!A:A,FHIR!E:E),"")</f>
        <v>Patient.identifier</v>
      </c>
    </row>
    <row r="9" spans="1:30" ht="18.75" thickTop="1" thickBot="1" x14ac:dyDescent="0.35">
      <c r="A9" s="4"/>
      <c r="B9" s="4" t="s">
        <v>829</v>
      </c>
      <c r="C9" s="5"/>
      <c r="D9" s="4" t="s">
        <v>829</v>
      </c>
      <c r="E9" s="9" t="s">
        <v>293</v>
      </c>
      <c r="F9" s="8" t="s">
        <v>295</v>
      </c>
      <c r="G9" s="8" t="s">
        <v>295</v>
      </c>
      <c r="H9" s="8"/>
      <c r="I9" s="8"/>
      <c r="J9" s="8"/>
      <c r="K9" s="8"/>
      <c r="L9" s="8"/>
      <c r="M9" s="33" t="s">
        <v>992</v>
      </c>
      <c r="N9" s="6" t="str">
        <f t="shared" si="0"/>
        <v>PatientModule-Issuer of Patient ID Qualifiers Sequence-Universal Entity ID Type-Universal Entity ID Type</v>
      </c>
      <c r="O9" s="33" t="s">
        <v>992</v>
      </c>
      <c r="P9" t="str">
        <f t="shared" si="1"/>
        <v>Patient.identifier</v>
      </c>
      <c r="Q9" s="33" t="s">
        <v>992</v>
      </c>
      <c r="R9" s="11" t="str">
        <f t="shared" si="2"/>
        <v>EHDSPatient.identifier</v>
      </c>
      <c r="S9" s="33" t="s">
        <v>992</v>
      </c>
      <c r="T9" s="8"/>
      <c r="U9" s="3" t="s">
        <v>611</v>
      </c>
      <c r="V9" s="6" t="str">
        <f>_xlfn.IFNA(VLOOKUP($U9, XtEHR!A:F,2,FALSE)&amp;"."&amp;TRIM(VLOOKUP($U9, XtEHR!A:F,3,FALSE)),"-")</f>
        <v>EHDSPatient.identifier</v>
      </c>
      <c r="W9" s="8"/>
      <c r="X9" s="8"/>
      <c r="Y9" s="7"/>
      <c r="Z9" t="s">
        <v>718</v>
      </c>
      <c r="AA9" t="str">
        <f>IF(LEN(Z9)&gt;0,_xlfn.XLOOKUP(Z9,FHIR!A:A,FHIR!E:E),"")</f>
        <v>Patient.identifier</v>
      </c>
      <c r="AD9" t="s">
        <v>359</v>
      </c>
    </row>
    <row r="10" spans="1:30" ht="18.75" thickTop="1" thickBot="1" x14ac:dyDescent="0.35">
      <c r="A10" s="4"/>
      <c r="B10" s="4" t="s">
        <v>829</v>
      </c>
      <c r="C10" s="5"/>
      <c r="D10" s="4" t="s">
        <v>829</v>
      </c>
      <c r="E10" s="9" t="s">
        <v>293</v>
      </c>
      <c r="F10" s="8" t="s">
        <v>296</v>
      </c>
      <c r="G10" s="8" t="s">
        <v>296</v>
      </c>
      <c r="H10" s="8"/>
      <c r="I10" s="8"/>
      <c r="J10" s="8"/>
      <c r="K10" s="8"/>
      <c r="L10" s="8"/>
      <c r="M10" s="33" t="s">
        <v>992</v>
      </c>
      <c r="N10" s="6" t="str">
        <f t="shared" si="0"/>
        <v>PatientModule-Issuer of Patient ID Qualifiers Sequence-Type of Patient ID-Type of Patient ID</v>
      </c>
      <c r="O10" s="33" t="s">
        <v>992</v>
      </c>
      <c r="P10" t="str">
        <f t="shared" si="1"/>
        <v>Patient.identifier</v>
      </c>
      <c r="Q10" s="33" t="s">
        <v>992</v>
      </c>
      <c r="R10" s="11" t="str">
        <f t="shared" si="2"/>
        <v>EHDSPatient.identifier</v>
      </c>
      <c r="S10" s="33" t="s">
        <v>992</v>
      </c>
      <c r="T10" s="8"/>
      <c r="U10" s="3" t="s">
        <v>611</v>
      </c>
      <c r="V10" s="6" t="str">
        <f>_xlfn.IFNA(VLOOKUP($U10, XtEHR!A:F,2,FALSE)&amp;"."&amp;TRIM(VLOOKUP($U10, XtEHR!A:F,3,FALSE)),"-")</f>
        <v>EHDSPatient.identifier</v>
      </c>
      <c r="W10" s="8"/>
      <c r="X10" s="8"/>
      <c r="Y10" s="7"/>
      <c r="Z10" t="s">
        <v>718</v>
      </c>
      <c r="AA10" t="str">
        <f>IF(LEN(Z10)&gt;0,_xlfn.XLOOKUP(Z10,FHIR!A:A,FHIR!E:E),"")</f>
        <v>Patient.identifier</v>
      </c>
    </row>
    <row r="11" spans="1:30" ht="18.75" thickTop="1" thickBot="1" x14ac:dyDescent="0.35">
      <c r="A11" s="4"/>
      <c r="B11" s="4" t="s">
        <v>829</v>
      </c>
      <c r="C11" s="5"/>
      <c r="D11" s="4" t="s">
        <v>829</v>
      </c>
      <c r="E11" s="8" t="s">
        <v>297</v>
      </c>
      <c r="G11" s="8"/>
      <c r="H11" s="8"/>
      <c r="I11" s="8"/>
      <c r="J11" s="8">
        <v>1</v>
      </c>
      <c r="K11" s="8"/>
      <c r="L11" s="8"/>
      <c r="M11" s="33" t="s">
        <v>992</v>
      </c>
      <c r="N11" s="6" t="str">
        <f t="shared" si="0"/>
        <v>PatientModule-Patient's Birth Date​</v>
      </c>
      <c r="O11" s="33" t="s">
        <v>992</v>
      </c>
      <c r="P11" t="str">
        <f t="shared" si="1"/>
        <v>Patient.birthDate</v>
      </c>
      <c r="Q11" s="33" t="s">
        <v>992</v>
      </c>
      <c r="R11" s="11" t="str">
        <f t="shared" si="2"/>
        <v>EHDSPatient.dateOfBirth</v>
      </c>
      <c r="S11" s="33" t="s">
        <v>992</v>
      </c>
      <c r="T11" s="8"/>
      <c r="U11" s="3" t="s">
        <v>613</v>
      </c>
      <c r="V11" s="6" t="str">
        <f>_xlfn.IFNA(VLOOKUP($U11, XtEHR!A:F,2,FALSE)&amp;"."&amp;TRIM(VLOOKUP($U11, XtEHR!A:F,3,FALSE)),"-")</f>
        <v>EHDSPatient.dateOfBirth</v>
      </c>
      <c r="W11" s="8"/>
      <c r="X11" s="8"/>
      <c r="Y11" s="7"/>
      <c r="Z11" t="s">
        <v>720</v>
      </c>
      <c r="AA11" t="str">
        <f>IF(LEN(Z11)&gt;0,_xlfn.XLOOKUP(Z11,FHIR!A:A,FHIR!E:E),"")</f>
        <v>Patient.birthDate</v>
      </c>
    </row>
    <row r="12" spans="1:30" ht="18.75" thickTop="1" thickBot="1" x14ac:dyDescent="0.35">
      <c r="A12" s="4"/>
      <c r="B12" s="4" t="s">
        <v>829</v>
      </c>
      <c r="C12" s="5"/>
      <c r="D12" s="4" t="s">
        <v>829</v>
      </c>
      <c r="E12" s="8" t="s">
        <v>298</v>
      </c>
      <c r="G12" s="8"/>
      <c r="H12" s="8"/>
      <c r="I12" s="8"/>
      <c r="J12" s="8">
        <v>1</v>
      </c>
      <c r="K12" s="8"/>
      <c r="L12" s="8"/>
      <c r="M12" s="33" t="s">
        <v>992</v>
      </c>
      <c r="N12" s="6" t="str">
        <f t="shared" si="0"/>
        <v>PatientModule-Patient's Sex​</v>
      </c>
      <c r="O12" s="33" t="s">
        <v>992</v>
      </c>
      <c r="P12" t="str">
        <f t="shared" si="1"/>
        <v>Patient.gender</v>
      </c>
      <c r="Q12" s="33" t="s">
        <v>992</v>
      </c>
      <c r="R12" s="11" t="str">
        <f t="shared" si="2"/>
        <v>EHDSPatient.administrativeGender</v>
      </c>
      <c r="S12" s="33" t="s">
        <v>992</v>
      </c>
      <c r="T12" s="8"/>
      <c r="U12" s="3" t="s">
        <v>616</v>
      </c>
      <c r="V12" s="6" t="str">
        <f>_xlfn.IFNA(VLOOKUP($U12, XtEHR!A:F,2,FALSE)&amp;"."&amp;TRIM(VLOOKUP($U12, XtEHR!A:F,3,FALSE)),"-")</f>
        <v>EHDSPatient.administrativeGender</v>
      </c>
      <c r="W12" s="8"/>
      <c r="X12" s="8"/>
      <c r="Y12" s="7"/>
      <c r="Z12" t="s">
        <v>723</v>
      </c>
      <c r="AA12" t="str">
        <f>IF(LEN(Z12)&gt;0,_xlfn.XLOOKUP(Z12,FHIR!A:A,FHIR!E:E),"")</f>
        <v>Patient.gender</v>
      </c>
    </row>
    <row r="13" spans="1:30" ht="18.75" thickTop="1" thickBot="1" x14ac:dyDescent="0.35">
      <c r="A13" s="4"/>
      <c r="B13" s="4" t="s">
        <v>829</v>
      </c>
      <c r="C13" s="5"/>
      <c r="D13" s="4" t="s">
        <v>829</v>
      </c>
      <c r="E13" s="8" t="s">
        <v>299</v>
      </c>
      <c r="G13" s="8"/>
      <c r="H13" s="8"/>
      <c r="I13" s="8"/>
      <c r="J13" s="8"/>
      <c r="K13" s="8"/>
      <c r="L13" s="8"/>
      <c r="M13" s="33" t="s">
        <v>992</v>
      </c>
      <c r="N13" s="6" t="str">
        <f t="shared" si="0"/>
        <v>PatientModule-Patient Comments</v>
      </c>
      <c r="O13" s="33" t="s">
        <v>992</v>
      </c>
      <c r="P13" t="str">
        <f t="shared" si="1"/>
        <v/>
      </c>
      <c r="Q13" s="33" t="s">
        <v>992</v>
      </c>
      <c r="R13" s="11" t="str">
        <f t="shared" si="2"/>
        <v>-</v>
      </c>
      <c r="S13" s="33" t="s">
        <v>992</v>
      </c>
      <c r="T13" s="8"/>
      <c r="U13" s="8"/>
      <c r="V13" s="6" t="str">
        <f>_xlfn.IFNA(VLOOKUP($U13, XtEHR!A:F,2,FALSE)&amp;"."&amp;TRIM(VLOOKUP($U13, XtEHR!A:F,3,FALSE)),"-")</f>
        <v>-</v>
      </c>
      <c r="W13" s="8"/>
      <c r="X13" s="8"/>
      <c r="Y13" s="10"/>
      <c r="Z13" s="10"/>
      <c r="AA13" t="str">
        <f>IF(LEN(Z13)&gt;0,_xlfn.XLOOKUP(Z13,FHIR!A:A,FHIR!E:E),"")</f>
        <v/>
      </c>
    </row>
    <row r="14" spans="1:30" ht="15.75" customHeight="1" thickTop="1" thickBot="1" x14ac:dyDescent="0.35">
      <c r="A14" s="4"/>
      <c r="B14" s="4" t="s">
        <v>829</v>
      </c>
      <c r="C14" s="5"/>
      <c r="D14" s="4" t="s">
        <v>829</v>
      </c>
      <c r="E14" s="8" t="s">
        <v>300</v>
      </c>
      <c r="G14" s="8"/>
      <c r="H14" s="8"/>
      <c r="I14" s="8"/>
      <c r="J14" s="8"/>
      <c r="K14" s="8"/>
      <c r="L14" s="8"/>
      <c r="M14" s="33" t="s">
        <v>992</v>
      </c>
      <c r="N14" s="6" t="str">
        <f t="shared" si="0"/>
        <v>PatientModule-Other Patient IDs Sequence</v>
      </c>
      <c r="O14" s="33" t="s">
        <v>992</v>
      </c>
      <c r="P14" t="str">
        <f t="shared" si="1"/>
        <v>Patient.identifier</v>
      </c>
      <c r="Q14" s="33" t="s">
        <v>992</v>
      </c>
      <c r="R14" s="11" t="str">
        <f t="shared" si="2"/>
        <v>EHDSPatient.identifier</v>
      </c>
      <c r="S14" s="33" t="s">
        <v>992</v>
      </c>
      <c r="T14" s="8"/>
      <c r="U14" s="3" t="s">
        <v>611</v>
      </c>
      <c r="V14" s="6" t="str">
        <f>_xlfn.IFNA(VLOOKUP($U14, XtEHR!A:F,2,FALSE)&amp;"."&amp;TRIM(VLOOKUP($U14, XtEHR!A:F,3,FALSE)),"-")</f>
        <v>EHDSPatient.identifier</v>
      </c>
      <c r="W14" s="8"/>
      <c r="X14" s="8"/>
      <c r="Y14" s="7"/>
      <c r="Z14" t="s">
        <v>718</v>
      </c>
      <c r="AA14" t="str">
        <f>IF(LEN(Z14)&gt;0,_xlfn.XLOOKUP(Z14,FHIR!A:A,FHIR!E:E),"")</f>
        <v>Patient.identifier</v>
      </c>
    </row>
    <row r="15" spans="1:30" ht="18.75" thickTop="1" thickBot="1" x14ac:dyDescent="0.35">
      <c r="A15" s="4"/>
      <c r="B15" s="4" t="s">
        <v>829</v>
      </c>
      <c r="C15" s="5"/>
      <c r="D15" s="4" t="s">
        <v>829</v>
      </c>
      <c r="E15" s="9" t="s">
        <v>300</v>
      </c>
      <c r="F15" s="8" t="s">
        <v>301</v>
      </c>
      <c r="G15" s="8"/>
      <c r="H15" s="8"/>
      <c r="I15" s="8"/>
      <c r="J15" s="8"/>
      <c r="K15" s="8"/>
      <c r="L15" s="8"/>
      <c r="M15" s="33" t="s">
        <v>992</v>
      </c>
      <c r="N15" s="6" t="str">
        <f t="shared" si="0"/>
        <v>PatientModule-Other Patient IDs Sequence-Patient ID</v>
      </c>
      <c r="O15" s="33" t="s">
        <v>992</v>
      </c>
      <c r="P15" t="str">
        <f t="shared" si="1"/>
        <v>Patient.identifier</v>
      </c>
      <c r="Q15" s="33" t="s">
        <v>992</v>
      </c>
      <c r="R15" s="11" t="str">
        <f t="shared" si="2"/>
        <v>EHDSPatient.identifier</v>
      </c>
      <c r="S15" s="33" t="s">
        <v>992</v>
      </c>
      <c r="T15" s="8"/>
      <c r="U15" s="3" t="s">
        <v>611</v>
      </c>
      <c r="V15" s="6" t="str">
        <f>_xlfn.IFNA(VLOOKUP($U15, XtEHR!A:F,2,FALSE)&amp;"."&amp;TRIM(VLOOKUP($U15, XtEHR!A:F,3,FALSE)),"-")</f>
        <v>EHDSPatient.identifier</v>
      </c>
      <c r="W15" s="8"/>
      <c r="X15" s="8"/>
      <c r="Y15" s="7"/>
      <c r="Z15" t="s">
        <v>718</v>
      </c>
      <c r="AA15" t="str">
        <f>IF(LEN(Z15)&gt;0,_xlfn.XLOOKUP(Z15,FHIR!A:A,FHIR!E:E),"")</f>
        <v>Patient.identifier</v>
      </c>
      <c r="AD15" t="s">
        <v>290</v>
      </c>
    </row>
    <row r="16" spans="1:30" ht="18.75" thickTop="1" thickBot="1" x14ac:dyDescent="0.35">
      <c r="A16" s="4"/>
      <c r="B16" s="4" t="s">
        <v>829</v>
      </c>
      <c r="C16" s="5"/>
      <c r="D16" s="4" t="s">
        <v>829</v>
      </c>
      <c r="E16" s="9" t="s">
        <v>300</v>
      </c>
      <c r="F16" s="8" t="s">
        <v>291</v>
      </c>
      <c r="G16" s="8"/>
      <c r="H16" s="8"/>
      <c r="I16" s="8"/>
      <c r="K16" s="8" t="s">
        <v>302</v>
      </c>
      <c r="L16" s="8"/>
      <c r="M16" s="33" t="s">
        <v>992</v>
      </c>
      <c r="N16" s="6" t="str">
        <f t="shared" si="0"/>
        <v>PatientModule-Other Patient IDs Sequence-Issuer of Patient ID</v>
      </c>
      <c r="O16" s="33" t="s">
        <v>992</v>
      </c>
      <c r="P16" t="str">
        <f t="shared" si="1"/>
        <v>Patient.identifier</v>
      </c>
      <c r="Q16" s="33" t="s">
        <v>992</v>
      </c>
      <c r="R16" s="11" t="str">
        <f t="shared" si="2"/>
        <v>EHDSPatient.identifier</v>
      </c>
      <c r="S16" s="33" t="s">
        <v>992</v>
      </c>
      <c r="T16" s="8"/>
      <c r="U16" s="3" t="s">
        <v>611</v>
      </c>
      <c r="V16" s="6" t="str">
        <f>_xlfn.IFNA(VLOOKUP($U16, XtEHR!A:F,2,FALSE)&amp;"."&amp;TRIM(VLOOKUP($U16, XtEHR!A:F,3,FALSE)),"-")</f>
        <v>EHDSPatient.identifier</v>
      </c>
      <c r="W16" s="8"/>
      <c r="X16" s="8"/>
      <c r="Y16" s="7"/>
      <c r="Z16" t="s">
        <v>718</v>
      </c>
      <c r="AA16" t="str">
        <f>IF(LEN(Z16)&gt;0,_xlfn.XLOOKUP(Z16,FHIR!A:A,FHIR!E:E),"")</f>
        <v>Patient.identifier</v>
      </c>
      <c r="AD16" t="s">
        <v>292</v>
      </c>
    </row>
    <row r="17" spans="1:30" ht="18.75" thickTop="1" thickBot="1" x14ac:dyDescent="0.35">
      <c r="A17" s="4"/>
      <c r="B17" s="4" t="s">
        <v>829</v>
      </c>
      <c r="C17" s="5"/>
      <c r="D17" s="4" t="s">
        <v>829</v>
      </c>
      <c r="E17" s="9" t="s">
        <v>300</v>
      </c>
      <c r="F17" s="8" t="s">
        <v>293</v>
      </c>
      <c r="G17" s="8"/>
      <c r="H17" s="8"/>
      <c r="I17" s="8"/>
      <c r="K17" s="8" t="s">
        <v>288</v>
      </c>
      <c r="L17" s="8"/>
      <c r="M17" s="33" t="s">
        <v>992</v>
      </c>
      <c r="N17" s="6" t="str">
        <f t="shared" si="0"/>
        <v>PatientModule-Other Patient IDs Sequence-Issuer of Patient ID Qualifiers Sequence</v>
      </c>
      <c r="O17" s="33" t="s">
        <v>992</v>
      </c>
      <c r="P17" t="str">
        <f t="shared" si="1"/>
        <v>Patient.identifier</v>
      </c>
      <c r="Q17" s="33" t="s">
        <v>992</v>
      </c>
      <c r="R17" s="11" t="str">
        <f t="shared" si="2"/>
        <v>EHDSPatient.identifier</v>
      </c>
      <c r="S17" s="33" t="s">
        <v>992</v>
      </c>
      <c r="T17" s="8"/>
      <c r="U17" s="3" t="s">
        <v>611</v>
      </c>
      <c r="V17" s="6" t="str">
        <f>_xlfn.IFNA(VLOOKUP($U17, XtEHR!A:F,2,FALSE)&amp;"."&amp;TRIM(VLOOKUP($U17, XtEHR!A:F,3,FALSE)),"-")</f>
        <v>EHDSPatient.identifier</v>
      </c>
      <c r="W17" s="8"/>
      <c r="X17" s="8"/>
      <c r="Y17" s="7"/>
      <c r="Z17" t="s">
        <v>718</v>
      </c>
      <c r="AA17" t="str">
        <f>IF(LEN(Z17)&gt;0,_xlfn.XLOOKUP(Z17,FHIR!A:A,FHIR!E:E),"")</f>
        <v>Patient.identifier</v>
      </c>
    </row>
    <row r="18" spans="1:30" ht="18.75" thickTop="1" thickBot="1" x14ac:dyDescent="0.35">
      <c r="A18" s="4"/>
      <c r="B18" s="4" t="s">
        <v>829</v>
      </c>
      <c r="C18" s="5"/>
      <c r="D18" s="4" t="s">
        <v>829</v>
      </c>
      <c r="E18" s="9" t="s">
        <v>300</v>
      </c>
      <c r="F18" s="9" t="s">
        <v>293</v>
      </c>
      <c r="G18" s="8" t="s">
        <v>294</v>
      </c>
      <c r="H18" s="8"/>
      <c r="I18" s="8"/>
      <c r="K18" s="8" t="s">
        <v>288</v>
      </c>
      <c r="L18" s="8"/>
      <c r="M18" s="33" t="s">
        <v>992</v>
      </c>
      <c r="N18" s="6" t="str">
        <f t="shared" si="0"/>
        <v>PatientModule-Other Patient IDs Sequence-Issuer of Patient ID Qualifiers Sequence-Universal Entity ID</v>
      </c>
      <c r="O18" s="33" t="s">
        <v>992</v>
      </c>
      <c r="P18" t="str">
        <f t="shared" si="1"/>
        <v>Patient.identifier</v>
      </c>
      <c r="Q18" s="33" t="s">
        <v>992</v>
      </c>
      <c r="R18" s="11" t="str">
        <f t="shared" si="2"/>
        <v>EHDSPatient.identifier</v>
      </c>
      <c r="S18" s="33" t="s">
        <v>992</v>
      </c>
      <c r="T18" s="8"/>
      <c r="U18" s="3" t="s">
        <v>611</v>
      </c>
      <c r="V18" s="6" t="str">
        <f>_xlfn.IFNA(VLOOKUP($U18, XtEHR!A:F,2,FALSE)&amp;"."&amp;TRIM(VLOOKUP($U18, XtEHR!A:F,3,FALSE)),"-")</f>
        <v>EHDSPatient.identifier</v>
      </c>
      <c r="W18" s="8"/>
      <c r="X18" s="8"/>
      <c r="Y18" s="7"/>
      <c r="Z18" t="s">
        <v>718</v>
      </c>
      <c r="AA18" t="str">
        <f>IF(LEN(Z18)&gt;0,_xlfn.XLOOKUP(Z18,FHIR!A:A,FHIR!E:E),"")</f>
        <v>Patient.identifier</v>
      </c>
      <c r="AD18" t="s">
        <v>292</v>
      </c>
    </row>
    <row r="19" spans="1:30" ht="18.75" thickTop="1" thickBot="1" x14ac:dyDescent="0.35">
      <c r="A19" s="4"/>
      <c r="B19" s="4" t="s">
        <v>829</v>
      </c>
      <c r="C19" s="5"/>
      <c r="D19" s="4" t="s">
        <v>829</v>
      </c>
      <c r="E19" s="9" t="s">
        <v>300</v>
      </c>
      <c r="F19" s="9" t="s">
        <v>293</v>
      </c>
      <c r="G19" s="8" t="s">
        <v>295</v>
      </c>
      <c r="H19" s="8"/>
      <c r="I19" s="8"/>
      <c r="K19" s="8" t="s">
        <v>303</v>
      </c>
      <c r="L19" s="8"/>
      <c r="M19" s="33" t="s">
        <v>992</v>
      </c>
      <c r="N19" s="6" t="str">
        <f t="shared" si="0"/>
        <v>PatientModule-Other Patient IDs Sequence-Issuer of Patient ID Qualifiers Sequence-Universal Entity ID Type</v>
      </c>
      <c r="O19" s="33" t="s">
        <v>992</v>
      </c>
      <c r="P19" t="str">
        <f t="shared" si="1"/>
        <v>Patient.identifier</v>
      </c>
      <c r="Q19" s="33" t="s">
        <v>992</v>
      </c>
      <c r="R19" s="11" t="str">
        <f t="shared" si="2"/>
        <v>EHDSPatient.identifier</v>
      </c>
      <c r="S19" s="33" t="s">
        <v>992</v>
      </c>
      <c r="T19" s="8"/>
      <c r="U19" s="3" t="s">
        <v>611</v>
      </c>
      <c r="V19" s="6" t="str">
        <f>_xlfn.IFNA(VLOOKUP($U19, XtEHR!A:F,2,FALSE)&amp;"."&amp;TRIM(VLOOKUP($U19, XtEHR!A:F,3,FALSE)),"-")</f>
        <v>EHDSPatient.identifier</v>
      </c>
      <c r="W19" s="8"/>
      <c r="X19" s="8"/>
      <c r="Y19" s="7"/>
      <c r="Z19" t="s">
        <v>718</v>
      </c>
      <c r="AA19" t="str">
        <f>IF(LEN(Z19)&gt;0,_xlfn.XLOOKUP(Z19,FHIR!A:A,FHIR!E:E),"")</f>
        <v>Patient.identifier</v>
      </c>
      <c r="AD19" t="s">
        <v>359</v>
      </c>
    </row>
    <row r="20" spans="1:30" ht="18.75" thickTop="1" thickBot="1" x14ac:dyDescent="0.35">
      <c r="A20" s="4"/>
      <c r="B20" s="4" t="s">
        <v>829</v>
      </c>
      <c r="C20" s="5"/>
      <c r="D20" s="4" t="s">
        <v>829</v>
      </c>
      <c r="E20" s="9" t="s">
        <v>300</v>
      </c>
      <c r="F20" s="9" t="s">
        <v>293</v>
      </c>
      <c r="G20" s="8" t="s">
        <v>296</v>
      </c>
      <c r="H20" s="8"/>
      <c r="I20" s="8"/>
      <c r="J20" s="8"/>
      <c r="K20" s="8"/>
      <c r="L20" s="8"/>
      <c r="M20" s="33" t="s">
        <v>992</v>
      </c>
      <c r="N20" s="6" t="str">
        <f t="shared" si="0"/>
        <v>PatientModule-Other Patient IDs Sequence-Issuer of Patient ID Qualifiers Sequence-Type of Patient ID</v>
      </c>
      <c r="O20" s="33" t="s">
        <v>992</v>
      </c>
      <c r="P20" t="str">
        <f t="shared" si="1"/>
        <v>Patient.identifier</v>
      </c>
      <c r="Q20" s="33" t="s">
        <v>992</v>
      </c>
      <c r="R20" s="11" t="str">
        <f t="shared" si="2"/>
        <v>EHDSPatient.identifier</v>
      </c>
      <c r="S20" s="33" t="s">
        <v>992</v>
      </c>
      <c r="T20" s="8"/>
      <c r="U20" s="3" t="s">
        <v>611</v>
      </c>
      <c r="V20" s="6" t="str">
        <f>_xlfn.IFNA(VLOOKUP($U20, XtEHR!A:F,2,FALSE)&amp;"."&amp;TRIM(VLOOKUP($U20, XtEHR!A:F,3,FALSE)),"-")</f>
        <v>EHDSPatient.identifier</v>
      </c>
      <c r="W20" s="8"/>
      <c r="X20" s="8"/>
      <c r="Y20" s="7"/>
      <c r="Z20" t="s">
        <v>718</v>
      </c>
      <c r="AA20" t="str">
        <f>IF(LEN(Z20)&gt;0,_xlfn.XLOOKUP(Z20,FHIR!A:A,FHIR!E:E),"")</f>
        <v>Patient.identifier</v>
      </c>
      <c r="AB20" s="7"/>
    </row>
    <row r="21" spans="1:30" ht="18.75" thickTop="1" thickBot="1" x14ac:dyDescent="0.35">
      <c r="A21" s="4"/>
      <c r="B21" s="4" t="s">
        <v>829</v>
      </c>
      <c r="C21" s="5"/>
      <c r="D21" s="4" t="s">
        <v>829</v>
      </c>
      <c r="E21" s="9" t="s">
        <v>304</v>
      </c>
      <c r="F21" s="9"/>
      <c r="G21" s="7"/>
      <c r="H21" s="7"/>
      <c r="I21" s="7" t="s">
        <v>325</v>
      </c>
      <c r="J21" s="8" t="s">
        <v>389</v>
      </c>
      <c r="M21" s="33" t="s">
        <v>992</v>
      </c>
      <c r="N21" s="6" t="str">
        <f t="shared" si="0"/>
        <v>PatientModule-PatientSpeciesDescription</v>
      </c>
      <c r="O21" s="33" t="s">
        <v>992</v>
      </c>
      <c r="P21" t="str">
        <f t="shared" si="1"/>
        <v>Patient.extension[patient-animal]extension[species]</v>
      </c>
      <c r="Q21" s="33" t="s">
        <v>992</v>
      </c>
      <c r="R21" s="11" t="str">
        <f t="shared" si="2"/>
        <v>-</v>
      </c>
      <c r="S21" s="33" t="s">
        <v>992</v>
      </c>
      <c r="V21" s="6" t="str">
        <f>_xlfn.IFNA(VLOOKUP($U21, XtEHR!A:F,2,FALSE)&amp;"."&amp;TRIM(VLOOKUP($U21, XtEHR!A:F,3,FALSE)),"-")</f>
        <v>-</v>
      </c>
      <c r="Y21" s="7"/>
      <c r="Z21" t="s">
        <v>923</v>
      </c>
      <c r="AA21" t="str">
        <f>IF(LEN(Z21)&gt;0,_xlfn.XLOOKUP(Z21,FHIR!A:A,FHIR!E:E),"")</f>
        <v>Patient.extension[patient-animal]extension[species]</v>
      </c>
      <c r="AB21" s="7"/>
    </row>
    <row r="22" spans="1:30" ht="18.75" thickTop="1" thickBot="1" x14ac:dyDescent="0.35">
      <c r="B22" s="4" t="s">
        <v>829</v>
      </c>
      <c r="D22" s="4" t="s">
        <v>829</v>
      </c>
      <c r="E22" s="9" t="s">
        <v>305</v>
      </c>
      <c r="F22" s="9"/>
      <c r="G22" s="7"/>
      <c r="H22" s="7"/>
      <c r="I22" s="7" t="s">
        <v>325</v>
      </c>
      <c r="J22" s="8" t="s">
        <v>389</v>
      </c>
      <c r="M22" s="33" t="s">
        <v>992</v>
      </c>
      <c r="N22" s="6" t="str">
        <f t="shared" si="0"/>
        <v>PatientModule-Patient Species Code Sequence</v>
      </c>
      <c r="O22" s="33" t="s">
        <v>992</v>
      </c>
      <c r="P22" t="str">
        <f t="shared" si="1"/>
        <v>Patient.extension[patient-animal]extension[species]</v>
      </c>
      <c r="Q22" s="33" t="s">
        <v>992</v>
      </c>
      <c r="R22" s="11" t="str">
        <f t="shared" si="2"/>
        <v>-</v>
      </c>
      <c r="S22" s="33" t="s">
        <v>992</v>
      </c>
      <c r="V22" s="6" t="str">
        <f>_xlfn.IFNA(VLOOKUP($U22, XtEHR!A:F,2,FALSE)&amp;"."&amp;TRIM(VLOOKUP($U22, XtEHR!A:F,3,FALSE)),"-")</f>
        <v>-</v>
      </c>
      <c r="Y22" s="7"/>
      <c r="Z22" t="s">
        <v>923</v>
      </c>
      <c r="AA22" t="str">
        <f>IF(LEN(Z22)&gt;0,_xlfn.XLOOKUP(Z22,FHIR!A:A,FHIR!E:E),"")</f>
        <v>Patient.extension[patient-animal]extension[species]</v>
      </c>
      <c r="AB22" s="7"/>
    </row>
    <row r="23" spans="1:30" ht="18.75" thickTop="1" thickBot="1" x14ac:dyDescent="0.35">
      <c r="B23" s="4" t="s">
        <v>829</v>
      </c>
      <c r="D23" s="4" t="s">
        <v>829</v>
      </c>
      <c r="E23" s="9" t="s">
        <v>306</v>
      </c>
      <c r="F23" s="9"/>
      <c r="G23" s="7"/>
      <c r="H23" s="7"/>
      <c r="I23" s="7" t="s">
        <v>325</v>
      </c>
      <c r="J23" s="8"/>
      <c r="M23" s="33" t="s">
        <v>992</v>
      </c>
      <c r="N23" s="6" t="str">
        <f t="shared" si="0"/>
        <v>PatientModule-Patient Breed description</v>
      </c>
      <c r="O23" s="33" t="s">
        <v>992</v>
      </c>
      <c r="P23" t="str">
        <f t="shared" si="1"/>
        <v>Patient.extension[patient-animal].extension[breed]</v>
      </c>
      <c r="Q23" s="33" t="s">
        <v>992</v>
      </c>
      <c r="R23" s="11" t="str">
        <f t="shared" si="2"/>
        <v>-</v>
      </c>
      <c r="S23" s="33" t="s">
        <v>992</v>
      </c>
      <c r="V23" s="6" t="str">
        <f>_xlfn.IFNA(VLOOKUP($U23, XtEHR!A:F,2,FALSE)&amp;"."&amp;TRIM(VLOOKUP($U23, XtEHR!A:F,3,FALSE)),"-")</f>
        <v>-</v>
      </c>
      <c r="Y23" s="7"/>
      <c r="Z23" t="s">
        <v>924</v>
      </c>
      <c r="AA23" t="str">
        <f>IF(LEN(Z23)&gt;0,_xlfn.XLOOKUP(Z23,FHIR!A:A,FHIR!E:E),"")</f>
        <v>Patient.extension[patient-animal].extension[breed]</v>
      </c>
      <c r="AB23" s="7"/>
    </row>
    <row r="24" spans="1:30" ht="18.75" thickTop="1" thickBot="1" x14ac:dyDescent="0.35">
      <c r="B24" s="4" t="s">
        <v>829</v>
      </c>
      <c r="D24" s="4" t="s">
        <v>829</v>
      </c>
      <c r="E24" s="9" t="s">
        <v>307</v>
      </c>
      <c r="F24" s="9"/>
      <c r="G24" s="7"/>
      <c r="H24" s="7"/>
      <c r="I24" s="7" t="s">
        <v>325</v>
      </c>
      <c r="J24" s="8"/>
      <c r="M24" s="33" t="s">
        <v>992</v>
      </c>
      <c r="N24" s="6" t="str">
        <f t="shared" si="0"/>
        <v>PatientModule-Patient Breed Code Sequence</v>
      </c>
      <c r="O24" s="33" t="s">
        <v>992</v>
      </c>
      <c r="P24" t="str">
        <f t="shared" si="1"/>
        <v>Patient.extension[patient-animal].extension[breed]</v>
      </c>
      <c r="Q24" s="33" t="s">
        <v>992</v>
      </c>
      <c r="R24" s="11" t="str">
        <f t="shared" si="2"/>
        <v>-</v>
      </c>
      <c r="S24" s="33" t="s">
        <v>992</v>
      </c>
      <c r="V24" s="6" t="str">
        <f>_xlfn.IFNA(VLOOKUP($U24, XtEHR!A:F,2,FALSE)&amp;"."&amp;TRIM(VLOOKUP($U24, XtEHR!A:F,3,FALSE)),"-")</f>
        <v>-</v>
      </c>
      <c r="Y24" s="7"/>
      <c r="Z24" t="s">
        <v>924</v>
      </c>
      <c r="AA24" t="str">
        <f>IF(LEN(Z24)&gt;0,_xlfn.XLOOKUP(Z24,FHIR!A:A,FHIR!E:E),"")</f>
        <v>Patient.extension[patient-animal].extension[breed]</v>
      </c>
      <c r="AB24" s="7"/>
    </row>
    <row r="25" spans="1:30" ht="18.75" thickTop="1" thickBot="1" x14ac:dyDescent="0.35">
      <c r="D25" s="4"/>
      <c r="M25" s="33" t="s">
        <v>992</v>
      </c>
      <c r="N25" s="6" t="str">
        <f t="shared" si="0"/>
        <v/>
      </c>
      <c r="O25" s="33" t="s">
        <v>992</v>
      </c>
      <c r="P25" t="str">
        <f t="shared" si="1"/>
        <v/>
      </c>
      <c r="Q25" s="33" t="s">
        <v>992</v>
      </c>
      <c r="R25" s="11" t="str">
        <f t="shared" si="2"/>
        <v>-</v>
      </c>
      <c r="S25" s="33" t="s">
        <v>992</v>
      </c>
      <c r="V25" s="6" t="str">
        <f>_xlfn.IFNA(VLOOKUP($U25, XtEHR!A:F,2,FALSE)&amp;"."&amp;TRIM(VLOOKUP($U25, XtEHR!A:F,3,FALSE)),"-")</f>
        <v>-</v>
      </c>
      <c r="Y25" s="7"/>
      <c r="AA25" t="str">
        <f>IF(LEN(Z25)&gt;0,_xlfn.XLOOKUP(Z25,FHIR!A:A,FHIR!E:E),"")</f>
        <v/>
      </c>
      <c r="AB25" s="7"/>
    </row>
    <row r="26" spans="1:30" ht="18.75" thickTop="1" thickBot="1" x14ac:dyDescent="0.35">
      <c r="A26" s="4" t="s">
        <v>308</v>
      </c>
      <c r="B26" s="4" t="s">
        <v>309</v>
      </c>
      <c r="C26" s="5" t="s">
        <v>310</v>
      </c>
      <c r="D26" s="9" t="s">
        <v>309</v>
      </c>
      <c r="E26" s="9" t="s">
        <v>326</v>
      </c>
      <c r="F26" s="9"/>
      <c r="J26">
        <v>1</v>
      </c>
      <c r="M26" s="33" t="s">
        <v>992</v>
      </c>
      <c r="N26" s="6" t="str">
        <f t="shared" si="0"/>
        <v>General Study-StudyInstanceUID</v>
      </c>
      <c r="O26" s="33" t="s">
        <v>992</v>
      </c>
      <c r="P26" t="str">
        <f t="shared" si="1"/>
        <v>ImagingStudy.identifier[studyInstanceUid]</v>
      </c>
      <c r="Q26" s="33" t="s">
        <v>992</v>
      </c>
      <c r="R26" s="11" t="str">
        <f t="shared" si="2"/>
        <v>EHDSImagingStudy.header.identifier</v>
      </c>
      <c r="S26" s="33" t="s">
        <v>992</v>
      </c>
      <c r="U26" s="1" t="s">
        <v>536</v>
      </c>
      <c r="V26" s="6" t="str">
        <f>_xlfn.IFNA(VLOOKUP($U26, XtEHR!A:F,2,FALSE)&amp;"."&amp;TRIM(VLOOKUP($U26, XtEHR!A:F,3,FALSE)),"-")</f>
        <v>EHDSImagingStudy.header.identifier</v>
      </c>
      <c r="Z26" t="s">
        <v>790</v>
      </c>
      <c r="AA26" t="str">
        <f>IF(LEN(Z26)&gt;0,_xlfn.XLOOKUP(Z26,FHIR!A:A,FHIR!E:E),"")</f>
        <v>ImagingStudy.identifier[studyInstanceUid]</v>
      </c>
      <c r="AD26" t="s">
        <v>290</v>
      </c>
    </row>
    <row r="27" spans="1:30" ht="18.75" thickTop="1" thickBot="1" x14ac:dyDescent="0.35">
      <c r="D27" s="9" t="s">
        <v>309</v>
      </c>
      <c r="E27" s="9" t="s">
        <v>327</v>
      </c>
      <c r="F27" s="9"/>
      <c r="J27">
        <v>2</v>
      </c>
      <c r="M27" s="33" t="s">
        <v>992</v>
      </c>
      <c r="N27" s="6" t="str">
        <f t="shared" si="0"/>
        <v>General Study-StudyID</v>
      </c>
      <c r="O27" s="33" t="s">
        <v>992</v>
      </c>
      <c r="P27" t="str">
        <f t="shared" si="1"/>
        <v>ImagingStudy.identifier[studyUid]</v>
      </c>
      <c r="Q27" s="33" t="s">
        <v>992</v>
      </c>
      <c r="R27" s="11" t="str">
        <f t="shared" si="2"/>
        <v>-</v>
      </c>
      <c r="S27" s="33" t="s">
        <v>992</v>
      </c>
      <c r="V27" s="6" t="str">
        <f>_xlfn.IFNA(VLOOKUP($U27, XtEHR!A:F,2,FALSE)&amp;"."&amp;TRIM(VLOOKUP($U27, XtEHR!A:F,3,FALSE)),"-")</f>
        <v>-</v>
      </c>
      <c r="Z27" t="s">
        <v>926</v>
      </c>
      <c r="AA27" t="str">
        <f>IF(LEN(Z27)&gt;0,_xlfn.XLOOKUP(Z27,FHIR!A:A,FHIR!E:E),"")</f>
        <v>ImagingStudy.identifier[studyUid]</v>
      </c>
      <c r="AD27" t="s">
        <v>290</v>
      </c>
    </row>
    <row r="28" spans="1:30" ht="18.75" thickTop="1" thickBot="1" x14ac:dyDescent="0.35">
      <c r="D28" s="9" t="s">
        <v>309</v>
      </c>
      <c r="E28" s="9" t="s">
        <v>328</v>
      </c>
      <c r="F28" s="9"/>
      <c r="I28" s="9" t="s">
        <v>337</v>
      </c>
      <c r="M28" s="33" t="s">
        <v>992</v>
      </c>
      <c r="N28" s="6" t="str">
        <f t="shared" si="0"/>
        <v>General Study-Modality</v>
      </c>
      <c r="O28" s="33" t="s">
        <v>992</v>
      </c>
      <c r="P28" t="str">
        <f t="shared" si="1"/>
        <v>ImagingStudy.modality</v>
      </c>
      <c r="Q28" s="33" t="s">
        <v>992</v>
      </c>
      <c r="R28" s="11" t="str">
        <f t="shared" si="2"/>
        <v>EHDSImagingStudy.modality</v>
      </c>
      <c r="S28" s="33" t="s">
        <v>992</v>
      </c>
      <c r="U28" s="1" t="s">
        <v>543</v>
      </c>
      <c r="V28" s="6" t="str">
        <f>_xlfn.IFNA(VLOOKUP($U28, XtEHR!A:F,2,FALSE)&amp;"."&amp;TRIM(VLOOKUP($U28, XtEHR!A:F,3,FALSE)),"-")</f>
        <v>EHDSImagingStudy.modality</v>
      </c>
      <c r="Z28" t="s">
        <v>793</v>
      </c>
      <c r="AA28" t="str">
        <f>IF(LEN(Z28)&gt;0,_xlfn.XLOOKUP(Z28,FHIR!A:A,FHIR!E:E),"")</f>
        <v>ImagingStudy.modality</v>
      </c>
    </row>
    <row r="29" spans="1:30" ht="18.75" thickTop="1" thickBot="1" x14ac:dyDescent="0.35">
      <c r="D29" s="9" t="s">
        <v>309</v>
      </c>
      <c r="E29" s="9" t="s">
        <v>329</v>
      </c>
      <c r="J29">
        <v>2</v>
      </c>
      <c r="K29" t="s">
        <v>288</v>
      </c>
      <c r="M29" s="33" t="s">
        <v>992</v>
      </c>
      <c r="N29" s="6" t="str">
        <f t="shared" si="0"/>
        <v>General Study-StudyDate</v>
      </c>
      <c r="O29" s="33" t="s">
        <v>992</v>
      </c>
      <c r="P29" t="str">
        <f t="shared" si="1"/>
        <v>ImagingStudy.started</v>
      </c>
      <c r="Q29" s="33" t="s">
        <v>992</v>
      </c>
      <c r="R29" s="11" t="str">
        <f t="shared" si="2"/>
        <v>EHDSImagingStudy.started</v>
      </c>
      <c r="S29" s="33" t="s">
        <v>992</v>
      </c>
      <c r="U29" s="1" t="s">
        <v>546</v>
      </c>
      <c r="V29" s="6" t="str">
        <f>_xlfn.IFNA(VLOOKUP($U29, XtEHR!A:F,2,FALSE)&amp;"."&amp;TRIM(VLOOKUP($U29, XtEHR!A:F,3,FALSE)),"-")</f>
        <v>EHDSImagingStudy.started</v>
      </c>
      <c r="Z29" t="s">
        <v>797</v>
      </c>
      <c r="AA29" t="str">
        <f>IF(LEN(Z29)&gt;0,_xlfn.XLOOKUP(Z29,FHIR!A:A,FHIR!E:E),"")</f>
        <v>ImagingStudy.started</v>
      </c>
    </row>
    <row r="30" spans="1:30" ht="18.75" thickTop="1" thickBot="1" x14ac:dyDescent="0.35">
      <c r="D30" s="9" t="s">
        <v>309</v>
      </c>
      <c r="E30" s="9" t="s">
        <v>330</v>
      </c>
      <c r="J30">
        <v>2</v>
      </c>
      <c r="K30" t="s">
        <v>288</v>
      </c>
      <c r="M30" s="33" t="s">
        <v>992</v>
      </c>
      <c r="N30" s="6" t="str">
        <f t="shared" si="0"/>
        <v>General Study-StudyTime</v>
      </c>
      <c r="O30" s="33" t="s">
        <v>992</v>
      </c>
      <c r="P30" t="str">
        <f t="shared" si="1"/>
        <v>ImagingStudy.started</v>
      </c>
      <c r="Q30" s="33" t="s">
        <v>992</v>
      </c>
      <c r="R30" s="11" t="str">
        <f t="shared" si="2"/>
        <v>EHDSImagingStudy.started</v>
      </c>
      <c r="S30" s="33" t="s">
        <v>992</v>
      </c>
      <c r="U30" s="1" t="s">
        <v>546</v>
      </c>
      <c r="V30" s="6" t="str">
        <f>_xlfn.IFNA(VLOOKUP($U30, XtEHR!A:F,2,FALSE)&amp;"."&amp;TRIM(VLOOKUP($U30, XtEHR!A:F,3,FALSE)),"-")</f>
        <v>EHDSImagingStudy.started</v>
      </c>
      <c r="Z30" t="s">
        <v>797</v>
      </c>
      <c r="AA30" t="str">
        <f>IF(LEN(Z30)&gt;0,_xlfn.XLOOKUP(Z30,FHIR!A:A,FHIR!E:E),"")</f>
        <v>ImagingStudy.started</v>
      </c>
    </row>
    <row r="31" spans="1:30" ht="18.75" thickTop="1" thickBot="1" x14ac:dyDescent="0.35">
      <c r="D31" s="9" t="s">
        <v>309</v>
      </c>
      <c r="E31" s="9" t="s">
        <v>331</v>
      </c>
      <c r="J31">
        <v>2</v>
      </c>
      <c r="K31" t="s">
        <v>302</v>
      </c>
      <c r="M31" s="33" t="s">
        <v>992</v>
      </c>
      <c r="N31" s="6" t="str">
        <f t="shared" si="0"/>
        <v>General Study-AccessionNumber</v>
      </c>
      <c r="O31" s="33" t="s">
        <v>992</v>
      </c>
      <c r="P31" t="str">
        <f t="shared" si="1"/>
        <v>ServiceRequest-Order.identifier</v>
      </c>
      <c r="Q31" s="33" t="s">
        <v>992</v>
      </c>
      <c r="R31" s="11" t="str">
        <f t="shared" si="2"/>
        <v>EHDSServiceRequest.header.identifier</v>
      </c>
      <c r="S31" s="33" t="s">
        <v>992</v>
      </c>
      <c r="U31" t="s">
        <v>652</v>
      </c>
      <c r="V31" s="6" t="str">
        <f>_xlfn.IFNA(VLOOKUP($U31, XtEHR!A:F,2,FALSE)&amp;"."&amp;TRIM(VLOOKUP($U31, XtEHR!A:F,3,FALSE)),"-")</f>
        <v>EHDSServiceRequest.header.identifier</v>
      </c>
      <c r="Z31" t="s">
        <v>753</v>
      </c>
      <c r="AA31" t="str">
        <f>IF(LEN(Z31)&gt;0,_xlfn.XLOOKUP(Z31,FHIR!A:A,FHIR!E:E),"")</f>
        <v>ServiceRequest-Order.identifier</v>
      </c>
      <c r="AD31" t="s">
        <v>290</v>
      </c>
    </row>
    <row r="32" spans="1:30" ht="18.75" thickTop="1" thickBot="1" x14ac:dyDescent="0.35">
      <c r="D32" s="9" t="s">
        <v>309</v>
      </c>
      <c r="E32" s="9" t="s">
        <v>332</v>
      </c>
      <c r="F32" s="9"/>
      <c r="K32" s="9" t="s">
        <v>303</v>
      </c>
      <c r="L32" s="9"/>
      <c r="M32" s="33" t="s">
        <v>992</v>
      </c>
      <c r="N32" s="6" t="str">
        <f t="shared" si="0"/>
        <v>General Study-IssuerOfAccessionNumberSequence</v>
      </c>
      <c r="O32" s="33" t="s">
        <v>992</v>
      </c>
      <c r="P32" t="str">
        <f t="shared" si="1"/>
        <v>ServiceRequest-Order.identifier</v>
      </c>
      <c r="Q32" s="33" t="s">
        <v>992</v>
      </c>
      <c r="R32" s="11" t="str">
        <f t="shared" si="2"/>
        <v>EHDSServiceRequest.header.identifier</v>
      </c>
      <c r="S32" s="33" t="s">
        <v>992</v>
      </c>
      <c r="T32" s="9"/>
      <c r="U32" s="1" t="s">
        <v>652</v>
      </c>
      <c r="V32" s="6" t="str">
        <f>_xlfn.IFNA(VLOOKUP($U32, XtEHR!A:F,2,FALSE)&amp;"."&amp;TRIM(VLOOKUP($U32, XtEHR!A:F,3,FALSE)),"-")</f>
        <v>EHDSServiceRequest.header.identifier</v>
      </c>
      <c r="W32" s="9"/>
      <c r="X32" s="9"/>
      <c r="Z32" t="s">
        <v>753</v>
      </c>
      <c r="AA32" t="str">
        <f>IF(LEN(Z32)&gt;0,_xlfn.XLOOKUP(Z32,FHIR!A:A,FHIR!E:E),"")</f>
        <v>ServiceRequest-Order.identifier</v>
      </c>
    </row>
    <row r="33" spans="1:35" ht="18.75" thickTop="1" thickBot="1" x14ac:dyDescent="0.35">
      <c r="D33" s="9" t="s">
        <v>309</v>
      </c>
      <c r="E33" s="9" t="s">
        <v>332</v>
      </c>
      <c r="F33" s="9" t="s">
        <v>333</v>
      </c>
      <c r="M33" s="33" t="s">
        <v>992</v>
      </c>
      <c r="N33" s="6" t="str">
        <f t="shared" si="0"/>
        <v>General Study-IssuerOfAccessionNumberSequence-UniversalEntityIdType</v>
      </c>
      <c r="O33" s="33" t="s">
        <v>992</v>
      </c>
      <c r="P33" t="str">
        <f t="shared" si="1"/>
        <v>ServiceRequest-Order.identifier</v>
      </c>
      <c r="Q33" s="33" t="s">
        <v>992</v>
      </c>
      <c r="R33" s="11" t="str">
        <f t="shared" si="2"/>
        <v>EHDSServiceRequest.header.identifier</v>
      </c>
      <c r="S33" s="33" t="s">
        <v>992</v>
      </c>
      <c r="U33" s="1" t="s">
        <v>652</v>
      </c>
      <c r="V33" s="6" t="str">
        <f>_xlfn.IFNA(VLOOKUP($U33, XtEHR!A:F,2,FALSE)&amp;"."&amp;TRIM(VLOOKUP($U33, XtEHR!A:F,3,FALSE)),"-")</f>
        <v>EHDSServiceRequest.header.identifier</v>
      </c>
      <c r="Z33" t="s">
        <v>753</v>
      </c>
      <c r="AA33" t="str">
        <f>IF(LEN(Z33)&gt;0,_xlfn.XLOOKUP(Z33,FHIR!A:A,FHIR!E:E),"")</f>
        <v>ServiceRequest-Order.identifier</v>
      </c>
      <c r="AD33" t="s">
        <v>252</v>
      </c>
    </row>
    <row r="34" spans="1:35" ht="18.75" thickTop="1" thickBot="1" x14ac:dyDescent="0.35">
      <c r="D34" s="9" t="s">
        <v>309</v>
      </c>
      <c r="E34" s="9" t="s">
        <v>332</v>
      </c>
      <c r="F34" s="9" t="s">
        <v>334</v>
      </c>
      <c r="M34" s="33" t="s">
        <v>992</v>
      </c>
      <c r="N34" s="6" t="str">
        <f t="shared" si="0"/>
        <v>General Study-IssuerOfAccessionNumberSequence-UniversalEntityId</v>
      </c>
      <c r="O34" s="33" t="s">
        <v>992</v>
      </c>
      <c r="P34" t="str">
        <f t="shared" si="1"/>
        <v>ServiceRequest-Order.identifier</v>
      </c>
      <c r="Q34" s="33" t="s">
        <v>992</v>
      </c>
      <c r="R34" s="11" t="str">
        <f t="shared" si="2"/>
        <v>EHDSServiceRequest.header.identifier</v>
      </c>
      <c r="S34" s="33" t="s">
        <v>992</v>
      </c>
      <c r="U34" s="1" t="s">
        <v>652</v>
      </c>
      <c r="V34" s="6" t="str">
        <f>_xlfn.IFNA(VLOOKUP($U34, XtEHR!A:F,2,FALSE)&amp;"."&amp;TRIM(VLOOKUP($U34, XtEHR!A:F,3,FALSE)),"-")</f>
        <v>EHDSServiceRequest.header.identifier</v>
      </c>
      <c r="Z34" t="s">
        <v>753</v>
      </c>
      <c r="AA34" t="str">
        <f>IF(LEN(Z34)&gt;0,_xlfn.XLOOKUP(Z34,FHIR!A:A,FHIR!E:E),"")</f>
        <v>ServiceRequest-Order.identifier</v>
      </c>
      <c r="AD34" t="s">
        <v>85</v>
      </c>
    </row>
    <row r="35" spans="1:35" ht="18.75" thickTop="1" thickBot="1" x14ac:dyDescent="0.35">
      <c r="D35" s="9" t="s">
        <v>309</v>
      </c>
      <c r="E35" s="9" t="s">
        <v>335</v>
      </c>
      <c r="F35" s="9" t="s">
        <v>335</v>
      </c>
      <c r="M35" s="33" t="s">
        <v>992</v>
      </c>
      <c r="N35" s="6" t="str">
        <f t="shared" si="0"/>
        <v>General Study-Study Description-Study Description</v>
      </c>
      <c r="O35" s="33" t="s">
        <v>992</v>
      </c>
      <c r="P35" t="str">
        <f t="shared" si="1"/>
        <v>ImagingStudy.description</v>
      </c>
      <c r="Q35" s="33" t="s">
        <v>992</v>
      </c>
      <c r="R35" s="11" t="str">
        <f t="shared" si="2"/>
        <v>EHDSServiceRequest.header.identifier</v>
      </c>
      <c r="S35" s="33" t="s">
        <v>992</v>
      </c>
      <c r="U35" s="1" t="s">
        <v>652</v>
      </c>
      <c r="V35" s="6" t="str">
        <f>_xlfn.IFNA(VLOOKUP($U35, XtEHR!A:F,2,FALSE)&amp;"."&amp;TRIM(VLOOKUP($U35, XtEHR!A:F,3,FALSE)),"-")</f>
        <v>EHDSServiceRequest.header.identifier</v>
      </c>
      <c r="Z35" t="s">
        <v>810</v>
      </c>
      <c r="AA35" t="str">
        <f>IF(LEN(Z35)&gt;0,_xlfn.XLOOKUP(Z35,FHIR!A:A,FHIR!E:E),"")</f>
        <v>ImagingStudy.description</v>
      </c>
    </row>
    <row r="36" spans="1:35" ht="18.75" thickTop="1" thickBot="1" x14ac:dyDescent="0.35">
      <c r="D36" s="9" t="s">
        <v>309</v>
      </c>
      <c r="E36" s="9" t="s">
        <v>336</v>
      </c>
      <c r="J36">
        <v>2</v>
      </c>
      <c r="M36" s="33" t="s">
        <v>992</v>
      </c>
      <c r="N36" s="6" t="str">
        <f t="shared" si="0"/>
        <v>General Study-RefferringPhusician's Name</v>
      </c>
      <c r="O36" s="33" t="s">
        <v>992</v>
      </c>
      <c r="P36" t="str">
        <f t="shared" si="1"/>
        <v>ServiceRequest-Order.reasonReference</v>
      </c>
      <c r="Q36" s="33" t="s">
        <v>992</v>
      </c>
      <c r="R36" s="11" t="str">
        <f t="shared" si="2"/>
        <v>-</v>
      </c>
      <c r="S36" s="33" t="s">
        <v>992</v>
      </c>
      <c r="V36" s="6" t="str">
        <f>_xlfn.IFNA(VLOOKUP($U36, XtEHR!A:F,2,FALSE)&amp;"."&amp;TRIM(VLOOKUP($U36, XtEHR!A:F,3,FALSE)),"-")</f>
        <v>-</v>
      </c>
      <c r="Z36" t="s">
        <v>764</v>
      </c>
      <c r="AA36" t="str">
        <f>IF(LEN(Z36)&gt;0,_xlfn.XLOOKUP(Z36,FHIR!A:A,FHIR!E:E),"")</f>
        <v>ServiceRequest-Order.reasonReference</v>
      </c>
      <c r="AD36" s="11" t="s">
        <v>338</v>
      </c>
      <c r="AE36" t="s">
        <v>339</v>
      </c>
      <c r="AF36" t="s">
        <v>276</v>
      </c>
      <c r="AG36" s="11" t="s">
        <v>338</v>
      </c>
      <c r="AH36" t="s">
        <v>251</v>
      </c>
      <c r="AI36" t="s">
        <v>114</v>
      </c>
    </row>
    <row r="37" spans="1:35" ht="18.75" thickTop="1" thickBot="1" x14ac:dyDescent="0.35">
      <c r="D37" s="9" t="s">
        <v>309</v>
      </c>
      <c r="E37" s="9" t="s">
        <v>340</v>
      </c>
      <c r="J37">
        <v>3</v>
      </c>
      <c r="M37" s="33" t="s">
        <v>992</v>
      </c>
      <c r="N37" s="6" t="str">
        <f t="shared" si="0"/>
        <v>General Study-Reason For Performed Procedure Code Sequence</v>
      </c>
      <c r="O37" s="33" t="s">
        <v>992</v>
      </c>
      <c r="P37" t="str">
        <f t="shared" si="1"/>
        <v/>
      </c>
      <c r="Q37" s="33" t="s">
        <v>992</v>
      </c>
      <c r="R37" s="11" t="str">
        <f t="shared" si="2"/>
        <v>-</v>
      </c>
      <c r="S37" s="33" t="s">
        <v>992</v>
      </c>
      <c r="V37" s="6" t="str">
        <f>_xlfn.IFNA(VLOOKUP($U37, XtEHR!A:F,2,FALSE)&amp;"."&amp;TRIM(VLOOKUP($U37, XtEHR!A:F,3,FALSE)),"-")</f>
        <v>-</v>
      </c>
      <c r="AA37" t="str">
        <f>IF(LEN(Z37)&gt;0,_xlfn.XLOOKUP(Z37,FHIR!A:A,FHIR!E:E),"")</f>
        <v/>
      </c>
    </row>
    <row r="38" spans="1:35" ht="18.75" thickTop="1" thickBot="1" x14ac:dyDescent="0.35">
      <c r="D38" s="9"/>
      <c r="E38" s="9"/>
      <c r="M38" s="33" t="s">
        <v>992</v>
      </c>
      <c r="N38" s="6"/>
      <c r="O38" s="33" t="s">
        <v>992</v>
      </c>
      <c r="Q38" s="33" t="s">
        <v>992</v>
      </c>
      <c r="R38" s="11"/>
      <c r="S38" s="33" t="s">
        <v>992</v>
      </c>
      <c r="V38" s="6"/>
      <c r="AA38" t="str">
        <f>IF(LEN(Z38)&gt;0,_xlfn.XLOOKUP(Z38,FHIR!A:A,FHIR!E:E),"")</f>
        <v/>
      </c>
    </row>
    <row r="39" spans="1:35" ht="25.5" thickTop="1" thickBot="1" x14ac:dyDescent="0.35">
      <c r="A39" s="4" t="s">
        <v>314</v>
      </c>
      <c r="B39" s="4" t="s">
        <v>315</v>
      </c>
      <c r="C39" s="5" t="s">
        <v>316</v>
      </c>
      <c r="D39" s="9" t="s">
        <v>315</v>
      </c>
      <c r="E39" s="9" t="s">
        <v>341</v>
      </c>
      <c r="I39" t="s">
        <v>344</v>
      </c>
      <c r="M39" s="33" t="s">
        <v>992</v>
      </c>
      <c r="N39" s="6" t="str">
        <f t="shared" si="0"/>
        <v>General Equipment-Manufacturer</v>
      </c>
      <c r="O39" s="33" t="s">
        <v>992</v>
      </c>
      <c r="P39" t="str">
        <f t="shared" si="1"/>
        <v>MhDDocumentReference.author[madoDevice]</v>
      </c>
      <c r="Q39" s="33" t="s">
        <v>992</v>
      </c>
      <c r="R39" s="11" t="str">
        <f t="shared" si="2"/>
        <v>EHDSImagingStudy.header.author[EHDSDevice]</v>
      </c>
      <c r="S39" s="33" t="s">
        <v>992</v>
      </c>
      <c r="U39" s="1" t="s">
        <v>539</v>
      </c>
      <c r="V39" s="6" t="str">
        <f>_xlfn.IFNA(VLOOKUP($U39, XtEHR!A:F,2,FALSE)&amp;"."&amp;TRIM(VLOOKUP($U39, XtEHR!A:F,3,FALSE)),"-")</f>
        <v>EHDSImagingStudy.header.author[EHDSDevice]</v>
      </c>
      <c r="Z39" t="s">
        <v>706</v>
      </c>
      <c r="AA39" t="str">
        <f>IF(LEN(Z39)&gt;0,_xlfn.XLOOKUP(Z39,FHIR!A:A,FHIR!E:E),"")</f>
        <v>MhDDocumentReference.author[madoDevice]</v>
      </c>
      <c r="AD39" s="11" t="s">
        <v>338</v>
      </c>
      <c r="AE39" t="s">
        <v>345</v>
      </c>
      <c r="AF39" t="s">
        <v>346</v>
      </c>
    </row>
    <row r="40" spans="1:35" ht="18.75" thickTop="1" thickBot="1" x14ac:dyDescent="0.35">
      <c r="D40" s="9" t="s">
        <v>315</v>
      </c>
      <c r="E40" s="9" t="s">
        <v>342</v>
      </c>
      <c r="I40" t="s">
        <v>344</v>
      </c>
      <c r="M40" s="33" t="s">
        <v>992</v>
      </c>
      <c r="N40" s="6" t="str">
        <f t="shared" si="0"/>
        <v>General Equipment-Institution Name</v>
      </c>
      <c r="O40" s="33" t="s">
        <v>992</v>
      </c>
      <c r="P40" t="str">
        <f t="shared" si="1"/>
        <v>MhDDocumentReference.author[organization]</v>
      </c>
      <c r="Q40" s="33" t="s">
        <v>992</v>
      </c>
      <c r="R40" s="11" t="str">
        <f t="shared" si="2"/>
        <v>EHDSImagingStudy.header.author[EHDSOrganization]</v>
      </c>
      <c r="S40" s="33" t="s">
        <v>992</v>
      </c>
      <c r="U40" s="1" t="s">
        <v>538</v>
      </c>
      <c r="V40" s="6" t="str">
        <f>_xlfn.IFNA(VLOOKUP($U40, XtEHR!A:F,2,FALSE)&amp;"."&amp;TRIM(VLOOKUP($U40, XtEHR!A:F,3,FALSE)),"-")</f>
        <v>EHDSImagingStudy.header.author[EHDSOrganization]</v>
      </c>
      <c r="Z40" t="s">
        <v>707</v>
      </c>
      <c r="AA40" t="str">
        <f>IF(LEN(Z40)&gt;0,_xlfn.XLOOKUP(Z40,FHIR!A:A,FHIR!E:E),"")</f>
        <v>MhDDocumentReference.author[organization]</v>
      </c>
      <c r="AD40" s="11" t="s">
        <v>338</v>
      </c>
      <c r="AE40" t="s">
        <v>345</v>
      </c>
      <c r="AF40" s="11" t="s">
        <v>348</v>
      </c>
      <c r="AG40" s="11" t="s">
        <v>347</v>
      </c>
      <c r="AH40" t="s">
        <v>253</v>
      </c>
      <c r="AI40" t="s">
        <v>114</v>
      </c>
    </row>
    <row r="41" spans="1:35" ht="18.75" thickTop="1" thickBot="1" x14ac:dyDescent="0.35">
      <c r="D41" s="9" t="s">
        <v>315</v>
      </c>
      <c r="E41" s="9" t="s">
        <v>343</v>
      </c>
      <c r="I41" t="s">
        <v>344</v>
      </c>
      <c r="M41" s="33" t="s">
        <v>992</v>
      </c>
      <c r="N41" s="6" t="str">
        <f t="shared" si="0"/>
        <v>General Equipment-Institution Code Sequence</v>
      </c>
      <c r="O41" s="33" t="s">
        <v>992</v>
      </c>
      <c r="P41" t="str">
        <f t="shared" si="1"/>
        <v>MhDDocumentReference.author[organization]</v>
      </c>
      <c r="Q41" s="33" t="s">
        <v>992</v>
      </c>
      <c r="R41" s="11" t="str">
        <f t="shared" si="2"/>
        <v>EHDSImagingStudy.header.author[EHDSOrganization]</v>
      </c>
      <c r="S41" s="33" t="s">
        <v>992</v>
      </c>
      <c r="U41" s="1" t="s">
        <v>538</v>
      </c>
      <c r="V41" s="6" t="str">
        <f>_xlfn.IFNA(VLOOKUP($U41, XtEHR!A:F,2,FALSE)&amp;"."&amp;TRIM(VLOOKUP($U41, XtEHR!A:F,3,FALSE)),"-")</f>
        <v>EHDSImagingStudy.header.author[EHDSOrganization]</v>
      </c>
      <c r="Z41" t="s">
        <v>707</v>
      </c>
      <c r="AA41" t="str">
        <f>IF(LEN(Z41)&gt;0,_xlfn.XLOOKUP(Z41,FHIR!A:A,FHIR!E:E),"")</f>
        <v>MhDDocumentReference.author[organization]</v>
      </c>
      <c r="AD41" s="11" t="s">
        <v>338</v>
      </c>
      <c r="AE41" t="s">
        <v>345</v>
      </c>
      <c r="AF41" s="11" t="s">
        <v>348</v>
      </c>
      <c r="AG41" s="11" t="s">
        <v>347</v>
      </c>
      <c r="AH41" t="s">
        <v>253</v>
      </c>
      <c r="AI41" t="s">
        <v>252</v>
      </c>
    </row>
    <row r="42" spans="1:35" ht="18.75" thickTop="1" thickBot="1" x14ac:dyDescent="0.35">
      <c r="D42" s="9"/>
      <c r="E42" s="9"/>
      <c r="M42" s="33" t="s">
        <v>992</v>
      </c>
      <c r="N42" s="6"/>
      <c r="O42" s="33" t="s">
        <v>992</v>
      </c>
      <c r="Q42" s="33" t="s">
        <v>992</v>
      </c>
      <c r="R42" s="11"/>
      <c r="S42" s="33" t="s">
        <v>992</v>
      </c>
      <c r="U42" s="1"/>
      <c r="V42" s="6"/>
      <c r="AA42" t="str">
        <f>IF(LEN(Z42)&gt;0,_xlfn.XLOOKUP(Z42,FHIR!A:A,FHIR!E:E),"")</f>
        <v/>
      </c>
      <c r="AD42" s="11"/>
      <c r="AF42" s="11"/>
      <c r="AG42" s="11"/>
    </row>
    <row r="43" spans="1:35" ht="25.5" thickTop="1" thickBot="1" x14ac:dyDescent="0.35">
      <c r="A43" s="38" t="s">
        <v>317</v>
      </c>
      <c r="B43" s="4" t="s">
        <v>318</v>
      </c>
      <c r="C43" s="5" t="s">
        <v>319</v>
      </c>
      <c r="D43" s="4" t="s">
        <v>318</v>
      </c>
      <c r="E43" s="9" t="s">
        <v>349</v>
      </c>
      <c r="F43" s="9" t="s">
        <v>351</v>
      </c>
      <c r="K43" t="s">
        <v>288</v>
      </c>
      <c r="M43" s="33" t="s">
        <v>992</v>
      </c>
      <c r="N43" s="6" t="str">
        <f t="shared" si="0"/>
        <v>Key Object Document-Referenced Request Sequence-Study Instance UID</v>
      </c>
      <c r="O43" s="33" t="s">
        <v>992</v>
      </c>
      <c r="P43" t="str">
        <f t="shared" si="1"/>
        <v>ImagingStudy.identifier[studyInstanceUid]</v>
      </c>
      <c r="Q43" s="33" t="s">
        <v>992</v>
      </c>
      <c r="R43" s="11" t="str">
        <f t="shared" si="2"/>
        <v>EHDSImagingStudy4.EHDSImagingStudy</v>
      </c>
      <c r="S43" s="33" t="s">
        <v>992</v>
      </c>
      <c r="U43" s="1" t="s">
        <v>536</v>
      </c>
      <c r="V43" s="6" t="str">
        <f>_xlfn.IFNA(VLOOKUP($U43, XtEHR!A:F,1,FALSE)&amp;"."&amp;TRIM(VLOOKUP($U43, XtEHR!A:F,2,FALSE)),"-")</f>
        <v>EHDSImagingStudy4.EHDSImagingStudy</v>
      </c>
      <c r="Z43" t="s">
        <v>790</v>
      </c>
      <c r="AA43" t="str">
        <f>IF(LEN(Z43)&gt;0,_xlfn.XLOOKUP(Z43,FHIR!A:A,FHIR!E:E),"")</f>
        <v>ImagingStudy.identifier[studyInstanceUid]</v>
      </c>
    </row>
    <row r="44" spans="1:35" ht="18.75" thickTop="1" thickBot="1" x14ac:dyDescent="0.35">
      <c r="A44" s="38"/>
      <c r="D44" s="4" t="s">
        <v>318</v>
      </c>
      <c r="E44" s="9" t="s">
        <v>349</v>
      </c>
      <c r="F44" s="9" t="s">
        <v>331</v>
      </c>
      <c r="K44" t="s">
        <v>288</v>
      </c>
      <c r="M44" s="33" t="s">
        <v>992</v>
      </c>
      <c r="N44" s="6" t="str">
        <f t="shared" si="0"/>
        <v>Key Object Document-Referenced Request Sequence-AccessionNumber</v>
      </c>
      <c r="O44" s="33" t="s">
        <v>992</v>
      </c>
      <c r="P44" t="str">
        <f t="shared" si="1"/>
        <v>ServiceRequest-Order.identifier</v>
      </c>
      <c r="Q44" s="33" t="s">
        <v>992</v>
      </c>
      <c r="R44" s="11" t="str">
        <f t="shared" si="2"/>
        <v>EHDSServiceRequest.header.identifier</v>
      </c>
      <c r="S44" s="33" t="s">
        <v>992</v>
      </c>
      <c r="U44" s="1" t="s">
        <v>652</v>
      </c>
      <c r="V44" s="6" t="str">
        <f>_xlfn.IFNA(VLOOKUP($U44, XtEHR!A:F,2,FALSE)&amp;"."&amp;TRIM(VLOOKUP($U44, XtEHR!A:F,3,FALSE)),"-")</f>
        <v>EHDSServiceRequest.header.identifier</v>
      </c>
      <c r="Z44" t="s">
        <v>753</v>
      </c>
      <c r="AA44" t="str">
        <f>IF(LEN(Z44)&gt;0,_xlfn.XLOOKUP(Z44,FHIR!A:A,FHIR!E:E),"")</f>
        <v>ServiceRequest-Order.identifier</v>
      </c>
      <c r="AD44" s="11" t="s">
        <v>338</v>
      </c>
      <c r="AE44" t="s">
        <v>339</v>
      </c>
      <c r="AF44" t="s">
        <v>354</v>
      </c>
      <c r="AG44" t="s">
        <v>290</v>
      </c>
    </row>
    <row r="45" spans="1:35" ht="18.75" thickTop="1" thickBot="1" x14ac:dyDescent="0.35">
      <c r="A45" s="39"/>
      <c r="D45" s="4" t="s">
        <v>318</v>
      </c>
      <c r="E45" s="9" t="s">
        <v>349</v>
      </c>
      <c r="F45" s="9" t="s">
        <v>332</v>
      </c>
      <c r="G45" s="9" t="s">
        <v>294</v>
      </c>
      <c r="K45" t="s">
        <v>288</v>
      </c>
      <c r="M45" s="33" t="s">
        <v>992</v>
      </c>
      <c r="N45" s="6" t="str">
        <f t="shared" si="0"/>
        <v>Key Object Document-Referenced Request Sequence-IssuerOfAccessionNumberSequence-Universal Entity ID</v>
      </c>
      <c r="O45" s="33" t="s">
        <v>992</v>
      </c>
      <c r="P45" t="str">
        <f t="shared" si="1"/>
        <v>ServiceRequest-Order.identifier</v>
      </c>
      <c r="Q45" s="33" t="s">
        <v>992</v>
      </c>
      <c r="R45" s="11" t="str">
        <f t="shared" si="2"/>
        <v>EHDSServiceRequest.header.identifier</v>
      </c>
      <c r="S45" s="33" t="s">
        <v>992</v>
      </c>
      <c r="U45" s="1" t="s">
        <v>652</v>
      </c>
      <c r="V45" s="6" t="str">
        <f>_xlfn.IFNA(VLOOKUP($U45, XtEHR!A:F,2,FALSE)&amp;"."&amp;TRIM(VLOOKUP($U45, XtEHR!A:F,3,FALSE)),"-")</f>
        <v>EHDSServiceRequest.header.identifier</v>
      </c>
      <c r="Z45" t="s">
        <v>753</v>
      </c>
      <c r="AA45" t="str">
        <f>IF(LEN(Z45)&gt;0,_xlfn.XLOOKUP(Z45,FHIR!A:A,FHIR!E:E),"")</f>
        <v>ServiceRequest-Order.identifier</v>
      </c>
      <c r="AD45" s="11" t="s">
        <v>338</v>
      </c>
      <c r="AE45" t="s">
        <v>339</v>
      </c>
      <c r="AF45" t="s">
        <v>354</v>
      </c>
      <c r="AG45" t="s">
        <v>292</v>
      </c>
    </row>
    <row r="46" spans="1:35" ht="18" thickBot="1" x14ac:dyDescent="0.35">
      <c r="D46" s="4" t="s">
        <v>318</v>
      </c>
      <c r="E46" s="9" t="s">
        <v>349</v>
      </c>
      <c r="F46" s="9" t="s">
        <v>332</v>
      </c>
      <c r="G46" s="9" t="s">
        <v>295</v>
      </c>
      <c r="K46" t="s">
        <v>288</v>
      </c>
      <c r="M46" s="33" t="s">
        <v>992</v>
      </c>
      <c r="N46" s="6" t="str">
        <f t="shared" si="0"/>
        <v>Key Object Document-Referenced Request Sequence-IssuerOfAccessionNumberSequence-Universal Entity ID Type</v>
      </c>
      <c r="O46" s="33" t="s">
        <v>992</v>
      </c>
      <c r="P46" t="str">
        <f t="shared" si="1"/>
        <v>ServiceRequest-Order.identifier</v>
      </c>
      <c r="Q46" s="33" t="s">
        <v>992</v>
      </c>
      <c r="R46" s="11" t="str">
        <f t="shared" si="2"/>
        <v>EHDSServiceRequest.header.identifier</v>
      </c>
      <c r="S46" s="33" t="s">
        <v>992</v>
      </c>
      <c r="U46" s="1" t="s">
        <v>652</v>
      </c>
      <c r="V46" s="6" t="str">
        <f>_xlfn.IFNA(VLOOKUP($U46, XtEHR!A:F,2,FALSE)&amp;"."&amp;TRIM(VLOOKUP($U46, XtEHR!A:F,3,FALSE)),"-")</f>
        <v>EHDSServiceRequest.header.identifier</v>
      </c>
      <c r="Z46" t="s">
        <v>753</v>
      </c>
      <c r="AA46" t="str">
        <f>IF(LEN(Z46)&gt;0,_xlfn.XLOOKUP(Z46,FHIR!A:A,FHIR!E:E),"")</f>
        <v>ServiceRequest-Order.identifier</v>
      </c>
      <c r="AD46" s="11" t="s">
        <v>338</v>
      </c>
      <c r="AE46" t="s">
        <v>339</v>
      </c>
      <c r="AF46" t="s">
        <v>354</v>
      </c>
      <c r="AG46" t="s">
        <v>359</v>
      </c>
    </row>
    <row r="47" spans="1:35" ht="18.75" thickTop="1" thickBot="1" x14ac:dyDescent="0.35">
      <c r="D47" s="4" t="s">
        <v>318</v>
      </c>
      <c r="E47" s="9" t="s">
        <v>349</v>
      </c>
      <c r="F47" s="9" t="s">
        <v>352</v>
      </c>
      <c r="M47" s="33" t="s">
        <v>992</v>
      </c>
      <c r="N47" s="6" t="str">
        <f t="shared" si="0"/>
        <v>Key Object Document-Referenced Request Sequence-Placer Order Number</v>
      </c>
      <c r="O47" s="33" t="s">
        <v>992</v>
      </c>
      <c r="P47" t="str">
        <f t="shared" si="1"/>
        <v>ServiceRequest-Order.identifier</v>
      </c>
      <c r="Q47" s="33" t="s">
        <v>992</v>
      </c>
      <c r="R47" s="11" t="str">
        <f t="shared" si="2"/>
        <v>EHDSServiceRequest.header.identifier</v>
      </c>
      <c r="S47" s="33" t="s">
        <v>992</v>
      </c>
      <c r="U47" s="1" t="s">
        <v>652</v>
      </c>
      <c r="V47" s="6" t="str">
        <f>_xlfn.IFNA(VLOOKUP($U47, XtEHR!A:F,2,FALSE)&amp;"."&amp;TRIM(VLOOKUP($U47, XtEHR!A:F,3,FALSE)),"-")</f>
        <v>EHDSServiceRequest.header.identifier</v>
      </c>
      <c r="Z47" t="s">
        <v>753</v>
      </c>
      <c r="AA47" t="str">
        <f>IF(LEN(Z47)&gt;0,_xlfn.XLOOKUP(Z47,FHIR!A:A,FHIR!E:E),"")</f>
        <v>ServiceRequest-Order.identifier</v>
      </c>
      <c r="AD47" s="11" t="s">
        <v>338</v>
      </c>
      <c r="AE47" t="s">
        <v>339</v>
      </c>
      <c r="AF47" t="s">
        <v>355</v>
      </c>
      <c r="AG47" t="s">
        <v>290</v>
      </c>
    </row>
    <row r="48" spans="1:35" ht="18.75" thickTop="1" thickBot="1" x14ac:dyDescent="0.35">
      <c r="D48" s="4" t="s">
        <v>318</v>
      </c>
      <c r="E48" s="9" t="s">
        <v>349</v>
      </c>
      <c r="F48" s="12" t="s">
        <v>353</v>
      </c>
      <c r="G48" s="9" t="s">
        <v>294</v>
      </c>
      <c r="K48" t="s">
        <v>288</v>
      </c>
      <c r="M48" s="33" t="s">
        <v>992</v>
      </c>
      <c r="N48" s="6" t="str">
        <f t="shared" si="0"/>
        <v>Key Object Document-Referenced Request Sequence-Order Placer Identifier Sequence-Universal Entity ID</v>
      </c>
      <c r="O48" s="33" t="s">
        <v>992</v>
      </c>
      <c r="P48" t="str">
        <f t="shared" si="1"/>
        <v>ServiceRequest-Order.identifier</v>
      </c>
      <c r="Q48" s="33" t="s">
        <v>992</v>
      </c>
      <c r="R48" s="11" t="str">
        <f t="shared" si="2"/>
        <v>EHDSServiceRequest.header.identifier</v>
      </c>
      <c r="S48" s="33" t="s">
        <v>992</v>
      </c>
      <c r="U48" s="1" t="s">
        <v>652</v>
      </c>
      <c r="V48" s="6" t="str">
        <f>_xlfn.IFNA(VLOOKUP($U48, XtEHR!A:F,2,FALSE)&amp;"."&amp;TRIM(VLOOKUP($U48, XtEHR!A:F,3,FALSE)),"-")</f>
        <v>EHDSServiceRequest.header.identifier</v>
      </c>
      <c r="Z48" t="s">
        <v>753</v>
      </c>
      <c r="AA48" t="str">
        <f>IF(LEN(Z48)&gt;0,_xlfn.XLOOKUP(Z48,FHIR!A:A,FHIR!E:E),"")</f>
        <v>ServiceRequest-Order.identifier</v>
      </c>
      <c r="AD48" s="11" t="s">
        <v>338</v>
      </c>
      <c r="AE48" t="s">
        <v>339</v>
      </c>
      <c r="AF48" t="s">
        <v>355</v>
      </c>
      <c r="AG48" t="s">
        <v>292</v>
      </c>
    </row>
    <row r="49" spans="4:33" ht="18.75" thickTop="1" thickBot="1" x14ac:dyDescent="0.35">
      <c r="D49" s="4" t="s">
        <v>318</v>
      </c>
      <c r="E49" s="9" t="s">
        <v>349</v>
      </c>
      <c r="F49" s="12" t="s">
        <v>353</v>
      </c>
      <c r="G49" s="9" t="s">
        <v>295</v>
      </c>
      <c r="K49" t="s">
        <v>303</v>
      </c>
      <c r="M49" s="33" t="s">
        <v>992</v>
      </c>
      <c r="N49" s="6" t="str">
        <f t="shared" si="0"/>
        <v>Key Object Document-Referenced Request Sequence-Order Placer Identifier Sequence-Universal Entity ID Type</v>
      </c>
      <c r="O49" s="33" t="s">
        <v>992</v>
      </c>
      <c r="P49" t="str">
        <f t="shared" si="1"/>
        <v>ServiceRequest-Order.identifier</v>
      </c>
      <c r="Q49" s="33" t="s">
        <v>992</v>
      </c>
      <c r="R49" s="11" t="str">
        <f t="shared" si="2"/>
        <v>EHDSServiceRequest.header.identifier</v>
      </c>
      <c r="S49" s="33" t="s">
        <v>992</v>
      </c>
      <c r="U49" s="1" t="s">
        <v>652</v>
      </c>
      <c r="V49" s="6" t="str">
        <f>_xlfn.IFNA(VLOOKUP($U49, XtEHR!A:F,2,FALSE)&amp;"."&amp;TRIM(VLOOKUP($U49, XtEHR!A:F,3,FALSE)),"-")</f>
        <v>EHDSServiceRequest.header.identifier</v>
      </c>
      <c r="Z49" t="s">
        <v>753</v>
      </c>
      <c r="AA49" t="str">
        <f>IF(LEN(Z49)&gt;0,_xlfn.XLOOKUP(Z49,FHIR!A:A,FHIR!E:E),"")</f>
        <v>ServiceRequest-Order.identifier</v>
      </c>
      <c r="AD49" s="11" t="s">
        <v>338</v>
      </c>
      <c r="AE49" t="s">
        <v>339</v>
      </c>
      <c r="AF49" t="s">
        <v>355</v>
      </c>
      <c r="AG49" t="s">
        <v>359</v>
      </c>
    </row>
    <row r="50" spans="4:33" ht="18.75" thickTop="1" thickBot="1" x14ac:dyDescent="0.35">
      <c r="D50" s="4" t="s">
        <v>318</v>
      </c>
      <c r="E50" s="9" t="s">
        <v>356</v>
      </c>
      <c r="J50">
        <v>1</v>
      </c>
      <c r="M50" s="33" t="s">
        <v>992</v>
      </c>
      <c r="N50" s="6" t="str">
        <f t="shared" si="0"/>
        <v>Key Object Document-Content Date</v>
      </c>
      <c r="O50" s="33" t="s">
        <v>992</v>
      </c>
      <c r="P50" t="str">
        <f t="shared" si="1"/>
        <v>MhDDocumentReference.date</v>
      </c>
      <c r="Q50" s="33" t="s">
        <v>992</v>
      </c>
      <c r="R50" s="11" t="str">
        <f t="shared" si="2"/>
        <v>EHDSImagingStudy.header.date</v>
      </c>
      <c r="S50" s="33" t="s">
        <v>992</v>
      </c>
      <c r="U50" t="s">
        <v>540</v>
      </c>
      <c r="V50" s="6" t="str">
        <f>_xlfn.IFNA(VLOOKUP($U50, XtEHR!A:F,2,FALSE)&amp;"."&amp;TRIM(VLOOKUP($U50, XtEHR!A:F,3,FALSE)),"-")</f>
        <v>EHDSImagingStudy.header.date</v>
      </c>
      <c r="Z50" t="s">
        <v>705</v>
      </c>
      <c r="AA50" t="str">
        <f>IF(LEN(Z50)&gt;0,_xlfn.XLOOKUP(Z50,FHIR!A:A,FHIR!E:E),"")</f>
        <v>MhDDocumentReference.date</v>
      </c>
    </row>
    <row r="51" spans="4:33" ht="18.75" thickTop="1" thickBot="1" x14ac:dyDescent="0.35">
      <c r="D51" s="4" t="s">
        <v>318</v>
      </c>
      <c r="E51" s="9" t="s">
        <v>357</v>
      </c>
      <c r="J51">
        <v>1</v>
      </c>
      <c r="M51" s="33" t="s">
        <v>992</v>
      </c>
      <c r="N51" s="6" t="str">
        <f t="shared" si="0"/>
        <v>Key Object Document-Content Time</v>
      </c>
      <c r="O51" s="33" t="s">
        <v>992</v>
      </c>
      <c r="P51" t="str">
        <f t="shared" si="1"/>
        <v>MhDDocumentReference.date</v>
      </c>
      <c r="Q51" s="33" t="s">
        <v>992</v>
      </c>
      <c r="R51" s="11" t="str">
        <f t="shared" si="2"/>
        <v>EHDSImagingStudy.header.date</v>
      </c>
      <c r="S51" s="33" t="s">
        <v>992</v>
      </c>
      <c r="U51" t="s">
        <v>540</v>
      </c>
      <c r="V51" s="6" t="str">
        <f>_xlfn.IFNA(VLOOKUP($U51, XtEHR!A:F,2,FALSE)&amp;"."&amp;TRIM(VLOOKUP($U51, XtEHR!A:F,3,FALSE)),"-")</f>
        <v>EHDSImagingStudy.header.date</v>
      </c>
      <c r="Z51" t="s">
        <v>705</v>
      </c>
      <c r="AA51" t="str">
        <f>IF(LEN(Z51)&gt;0,_xlfn.XLOOKUP(Z51,FHIR!A:A,FHIR!E:E),"")</f>
        <v>MhDDocumentReference.date</v>
      </c>
    </row>
    <row r="52" spans="4:33" ht="18.75" thickTop="1" thickBot="1" x14ac:dyDescent="0.35">
      <c r="D52" s="4" t="s">
        <v>318</v>
      </c>
      <c r="E52" s="9" t="s">
        <v>358</v>
      </c>
      <c r="J52">
        <v>1</v>
      </c>
      <c r="M52" s="33" t="s">
        <v>992</v>
      </c>
      <c r="N52" s="6" t="str">
        <f t="shared" si="0"/>
        <v>Key Object Document-Instance Number</v>
      </c>
      <c r="O52" s="33" t="s">
        <v>992</v>
      </c>
      <c r="P52" t="str">
        <f t="shared" si="1"/>
        <v/>
      </c>
      <c r="Q52" s="33" t="s">
        <v>992</v>
      </c>
      <c r="R52" s="11" t="str">
        <f t="shared" si="2"/>
        <v>EHDSImagingStudy.header.date</v>
      </c>
      <c r="S52" s="33" t="s">
        <v>992</v>
      </c>
      <c r="U52" t="s">
        <v>540</v>
      </c>
      <c r="V52" s="6" t="str">
        <f>_xlfn.IFNA(VLOOKUP($U52, XtEHR!A:F,2,FALSE)&amp;"."&amp;TRIM(VLOOKUP($U52, XtEHR!A:F,3,FALSE)),"-")</f>
        <v>EHDSImagingStudy.header.date</v>
      </c>
      <c r="AA52" t="str">
        <f>IF(LEN(Z52)&gt;0,_xlfn.XLOOKUP(Z52,FHIR!A:A,FHIR!E:E),"")</f>
        <v/>
      </c>
    </row>
    <row r="53" spans="4:33" ht="18.75" thickTop="1" thickBot="1" x14ac:dyDescent="0.35">
      <c r="D53" s="4" t="s">
        <v>318</v>
      </c>
      <c r="E53" s="9" t="s">
        <v>350</v>
      </c>
      <c r="F53" t="s">
        <v>360</v>
      </c>
      <c r="K53" t="s">
        <v>288</v>
      </c>
      <c r="M53" s="33" t="s">
        <v>992</v>
      </c>
      <c r="N53" s="6" t="str">
        <f t="shared" si="0"/>
        <v>Key Object Document-Current Requested Procedure Evidence Sequence-Retrieve Location UID</v>
      </c>
      <c r="O53" s="33" t="s">
        <v>992</v>
      </c>
      <c r="P53" t="str">
        <f t="shared" si="1"/>
        <v>Endpoint-XcWADO.extension[locationUid]</v>
      </c>
      <c r="Q53" s="33" t="s">
        <v>992</v>
      </c>
      <c r="R53" s="11" t="str">
        <f t="shared" si="2"/>
        <v>-</v>
      </c>
      <c r="S53" s="33" t="s">
        <v>992</v>
      </c>
      <c r="V53" s="6" t="str">
        <f>_xlfn.IFNA(VLOOKUP($U53, XtEHR!A:F,2,FALSE)&amp;"."&amp;TRIM(VLOOKUP($U53, XtEHR!A:F,3,FALSE)),"-")</f>
        <v>-</v>
      </c>
      <c r="Z53" t="s">
        <v>927</v>
      </c>
      <c r="AA53" t="str">
        <f>IF(LEN(Z53)&gt;0,_xlfn.XLOOKUP(Z53,FHIR!A:A,FHIR!E:E),"")</f>
        <v>Endpoint-XcWADO.extension[locationUid]</v>
      </c>
      <c r="AD53" s="11" t="s">
        <v>347</v>
      </c>
      <c r="AE53" t="s">
        <v>371</v>
      </c>
      <c r="AF53" t="s">
        <v>372</v>
      </c>
    </row>
    <row r="54" spans="4:33" ht="18.75" thickTop="1" thickBot="1" x14ac:dyDescent="0.35">
      <c r="D54" s="4" t="s">
        <v>318</v>
      </c>
      <c r="E54" s="9" t="s">
        <v>350</v>
      </c>
      <c r="F54" t="s">
        <v>361</v>
      </c>
      <c r="K54" t="s">
        <v>302</v>
      </c>
      <c r="M54" s="33" t="s">
        <v>992</v>
      </c>
      <c r="N54" s="6" t="str">
        <f t="shared" si="0"/>
        <v>Key Object Document-Current Requested Procedure Evidence Sequence-Retrieve URL</v>
      </c>
      <c r="O54" s="33" t="s">
        <v>992</v>
      </c>
      <c r="P54" t="str">
        <f t="shared" si="1"/>
        <v>Endpoint-XcWADO.address</v>
      </c>
      <c r="Q54" s="33" t="s">
        <v>992</v>
      </c>
      <c r="R54" s="11" t="str">
        <f t="shared" si="2"/>
        <v>EHDSEndpoint.address</v>
      </c>
      <c r="S54" s="33" t="s">
        <v>992</v>
      </c>
      <c r="U54" t="s">
        <v>689</v>
      </c>
      <c r="V54" s="6" t="str">
        <f>_xlfn.IFNA(VLOOKUP($U54, XtEHR!A:F,2,FALSE)&amp;"."&amp;TRIM(VLOOKUP($U54, XtEHR!A:F,3,FALSE)),"-")</f>
        <v>EHDSEndpoint.address</v>
      </c>
      <c r="Z54" t="str">
        <f>_xlfn.XLOOKUP(U54,FHIR!M:M,FHIR!A:A)</f>
        <v>XcWado11</v>
      </c>
      <c r="AA54" t="str">
        <f>IF(LEN(Z54)&gt;0,_xlfn.XLOOKUP(Z54,FHIR!A:A,FHIR!E:E),"")</f>
        <v>Endpoint-XcWADO.address</v>
      </c>
      <c r="AE54" t="s">
        <v>371</v>
      </c>
      <c r="AF54" t="s">
        <v>115</v>
      </c>
    </row>
    <row r="55" spans="4:33" ht="18.75" thickTop="1" thickBot="1" x14ac:dyDescent="0.35">
      <c r="D55" s="4" t="s">
        <v>318</v>
      </c>
      <c r="E55" s="9" t="s">
        <v>350</v>
      </c>
      <c r="F55" s="9" t="s">
        <v>351</v>
      </c>
      <c r="K55" t="s">
        <v>288</v>
      </c>
      <c r="M55" s="33" t="s">
        <v>992</v>
      </c>
      <c r="N55" s="6" t="str">
        <f t="shared" si="0"/>
        <v>Key Object Document-Current Requested Procedure Evidence Sequence-Study Instance UID</v>
      </c>
      <c r="O55" s="33" t="s">
        <v>992</v>
      </c>
      <c r="P55" t="str">
        <f t="shared" si="1"/>
        <v>ImagingStudy.identifier[studyInstanceUid]</v>
      </c>
      <c r="Q55" s="33" t="s">
        <v>992</v>
      </c>
      <c r="R55" s="11" t="str">
        <f t="shared" si="2"/>
        <v>EHDSImagingStudy.header.identifier</v>
      </c>
      <c r="S55" s="33" t="s">
        <v>992</v>
      </c>
      <c r="U55" t="s">
        <v>536</v>
      </c>
      <c r="V55" s="6" t="str">
        <f>_xlfn.IFNA(VLOOKUP($U55, XtEHR!A:F,2,FALSE)&amp;"."&amp;TRIM(VLOOKUP($U55, XtEHR!A:F,3,FALSE)),"-")</f>
        <v>EHDSImagingStudy.header.identifier</v>
      </c>
      <c r="Z55" t="str">
        <f>_xlfn.XLOOKUP(U55,FHIR!M:M,FHIR!A:A)</f>
        <v>ImagingStudy3</v>
      </c>
      <c r="AA55" t="str">
        <f>IF(LEN(Z55)&gt;0,_xlfn.XLOOKUP(Z55,FHIR!A:A,FHIR!E:E),"")</f>
        <v>ImagingStudy.identifier[studyInstanceUid]</v>
      </c>
    </row>
    <row r="56" spans="4:33" ht="18.75" thickTop="1" thickBot="1" x14ac:dyDescent="0.35">
      <c r="D56" s="4" t="s">
        <v>318</v>
      </c>
      <c r="E56" s="9" t="s">
        <v>350</v>
      </c>
      <c r="F56" t="s">
        <v>363</v>
      </c>
      <c r="G56" t="s">
        <v>364</v>
      </c>
      <c r="J56">
        <v>3</v>
      </c>
      <c r="M56" s="33" t="s">
        <v>992</v>
      </c>
      <c r="N56" s="6" t="str">
        <f t="shared" si="0"/>
        <v>Key Object Document-Current Requested Procedure Evidence Sequence-Referenced Series Sequence-Retrieve AE Title</v>
      </c>
      <c r="O56" s="33" t="s">
        <v>992</v>
      </c>
      <c r="P56" t="str">
        <f t="shared" si="1"/>
        <v/>
      </c>
      <c r="Q56" s="33" t="s">
        <v>992</v>
      </c>
      <c r="R56" s="11" t="str">
        <f t="shared" si="2"/>
        <v>-</v>
      </c>
      <c r="S56" s="33" t="s">
        <v>992</v>
      </c>
      <c r="V56" s="6" t="str">
        <f>_xlfn.IFNA(VLOOKUP($U56, XtEHR!A:F,2,FALSE)&amp;"."&amp;TRIM(VLOOKUP($U56, XtEHR!A:F,3,FALSE)),"-")</f>
        <v>-</v>
      </c>
      <c r="AA56" t="str">
        <f>IF(LEN(Z56)&gt;0,_xlfn.XLOOKUP(Z56,FHIR!A:A,FHIR!E:E),"")</f>
        <v/>
      </c>
    </row>
    <row r="57" spans="4:33" ht="18.75" thickTop="1" thickBot="1" x14ac:dyDescent="0.35">
      <c r="D57" s="4" t="s">
        <v>318</v>
      </c>
      <c r="E57" s="9" t="s">
        <v>350</v>
      </c>
      <c r="F57" t="s">
        <v>363</v>
      </c>
      <c r="G57" t="s">
        <v>361</v>
      </c>
      <c r="M57" s="33" t="s">
        <v>992</v>
      </c>
      <c r="N57" s="6" t="str">
        <f t="shared" si="0"/>
        <v>Key Object Document-Current Requested Procedure Evidence Sequence-Referenced Series Sequence-Retrieve URL</v>
      </c>
      <c r="O57" s="33" t="s">
        <v>992</v>
      </c>
      <c r="P57" t="str">
        <f t="shared" si="1"/>
        <v>Endpoint-XcWADO.address</v>
      </c>
      <c r="Q57" s="33" t="s">
        <v>992</v>
      </c>
      <c r="R57" s="11" t="str">
        <f t="shared" si="2"/>
        <v>EHDSEndpoint.address</v>
      </c>
      <c r="S57" s="33" t="s">
        <v>992</v>
      </c>
      <c r="U57" t="s">
        <v>689</v>
      </c>
      <c r="V57" s="6" t="str">
        <f>_xlfn.IFNA(VLOOKUP($U57, XtEHR!A:F,2,FALSE)&amp;"."&amp;TRIM(VLOOKUP($U57, XtEHR!A:F,3,FALSE)),"-")</f>
        <v>EHDSEndpoint.address</v>
      </c>
      <c r="Z57" t="str">
        <f>_xlfn.XLOOKUP(U57,FHIR!M:M,FHIR!A:A)</f>
        <v>XcWado11</v>
      </c>
      <c r="AA57" t="str">
        <f>IF(LEN(Z57)&gt;0,_xlfn.XLOOKUP(Z57,FHIR!A:A,FHIR!E:E),"")</f>
        <v>Endpoint-XcWADO.address</v>
      </c>
      <c r="AD57" s="11" t="s">
        <v>338</v>
      </c>
      <c r="AE57" t="s">
        <v>371</v>
      </c>
      <c r="AF57" t="s">
        <v>115</v>
      </c>
    </row>
    <row r="58" spans="4:33" ht="18.75" thickTop="1" thickBot="1" x14ac:dyDescent="0.35">
      <c r="D58" s="4" t="s">
        <v>318</v>
      </c>
      <c r="E58" s="9" t="s">
        <v>350</v>
      </c>
      <c r="F58" t="s">
        <v>363</v>
      </c>
      <c r="G58" t="s">
        <v>362</v>
      </c>
      <c r="J58">
        <v>1</v>
      </c>
      <c r="M58" s="33" t="s">
        <v>992</v>
      </c>
      <c r="N58" s="6" t="str">
        <f t="shared" si="0"/>
        <v>Key Object Document-Current Requested Procedure Evidence Sequence-Referenced Series Sequence-Referenced SOP Sequence</v>
      </c>
      <c r="O58" s="33" t="s">
        <v>992</v>
      </c>
      <c r="P58" t="str">
        <f t="shared" si="1"/>
        <v/>
      </c>
      <c r="Q58" s="33" t="s">
        <v>992</v>
      </c>
      <c r="R58" s="11" t="str">
        <f t="shared" si="2"/>
        <v>-</v>
      </c>
      <c r="S58" s="33" t="s">
        <v>992</v>
      </c>
      <c r="V58" s="6" t="str">
        <f>_xlfn.IFNA(VLOOKUP($U58, XtEHR!A:F,2,FALSE)&amp;"."&amp;TRIM(VLOOKUP($U58, XtEHR!A:F,3,FALSE)),"-")</f>
        <v>-</v>
      </c>
      <c r="AA58" t="str">
        <f>IF(LEN(Z58)&gt;0,_xlfn.XLOOKUP(Z58,FHIR!A:A,FHIR!E:E),"")</f>
        <v/>
      </c>
    </row>
    <row r="59" spans="4:33" ht="18.75" thickTop="1" thickBot="1" x14ac:dyDescent="0.35">
      <c r="D59" s="4" t="s">
        <v>318</v>
      </c>
      <c r="E59" s="9" t="s">
        <v>350</v>
      </c>
      <c r="F59" t="s">
        <v>363</v>
      </c>
      <c r="G59" t="s">
        <v>362</v>
      </c>
      <c r="H59" t="s">
        <v>373</v>
      </c>
      <c r="M59" s="33" t="s">
        <v>992</v>
      </c>
      <c r="N59" s="6" t="str">
        <f t="shared" si="0"/>
        <v>Key Object Document-Current Requested Procedure Evidence Sequence-Referenced Series Sequence-Referenced SOP Sequence-Referenced SOP Class UID</v>
      </c>
      <c r="O59" s="33" t="s">
        <v>992</v>
      </c>
      <c r="P59" t="str">
        <f t="shared" si="1"/>
        <v>ImagingStudy.series.instance.sopClass</v>
      </c>
      <c r="Q59" s="33" t="s">
        <v>992</v>
      </c>
      <c r="R59" s="11" t="str">
        <f t="shared" si="2"/>
        <v>-</v>
      </c>
      <c r="S59" s="33" t="s">
        <v>992</v>
      </c>
      <c r="V59" s="6" t="str">
        <f>_xlfn.IFNA(VLOOKUP($U59, XtEHR!A:F,2,FALSE)&amp;"."&amp;TRIM(VLOOKUP($U59, XtEHR!A:F,3,FALSE)),"-")</f>
        <v>-</v>
      </c>
      <c r="Z59" t="s">
        <v>825</v>
      </c>
      <c r="AA59" t="str">
        <f>IF(LEN(Z59)&gt;0,_xlfn.XLOOKUP(Z59,FHIR!A:A,FHIR!E:E),"")</f>
        <v>ImagingStudy.series.instance.sopClass</v>
      </c>
    </row>
    <row r="60" spans="4:33" ht="18.75" thickTop="1" thickBot="1" x14ac:dyDescent="0.35">
      <c r="D60" s="4" t="s">
        <v>318</v>
      </c>
      <c r="E60" s="9" t="s">
        <v>350</v>
      </c>
      <c r="F60" t="s">
        <v>363</v>
      </c>
      <c r="G60" t="s">
        <v>362</v>
      </c>
      <c r="H60" t="s">
        <v>374</v>
      </c>
      <c r="M60" s="33" t="s">
        <v>992</v>
      </c>
      <c r="N60" s="6" t="str">
        <f t="shared" si="0"/>
        <v>Key Object Document-Current Requested Procedure Evidence Sequence-Referenced Series Sequence-Referenced SOP Sequence-Referenced SOP Instance UID</v>
      </c>
      <c r="O60" s="33" t="s">
        <v>992</v>
      </c>
      <c r="P60" t="str">
        <f t="shared" si="1"/>
        <v>ImagingStudy.series.instance.uid</v>
      </c>
      <c r="Q60" s="33" t="s">
        <v>992</v>
      </c>
      <c r="R60" s="11" t="str">
        <f t="shared" si="2"/>
        <v>-</v>
      </c>
      <c r="S60" s="33" t="s">
        <v>992</v>
      </c>
      <c r="V60" s="6" t="str">
        <f>_xlfn.IFNA(VLOOKUP($U60, XtEHR!A:F,2,FALSE)&amp;"."&amp;TRIM(VLOOKUP($U60, XtEHR!A:F,3,FALSE)),"-")</f>
        <v>-</v>
      </c>
      <c r="Z60" t="s">
        <v>824</v>
      </c>
      <c r="AA60" t="str">
        <f>IF(LEN(Z60)&gt;0,_xlfn.XLOOKUP(Z60,FHIR!A:A,FHIR!E:E),"")</f>
        <v>ImagingStudy.series.instance.uid</v>
      </c>
    </row>
    <row r="61" spans="4:33" ht="18.75" thickTop="1" thickBot="1" x14ac:dyDescent="0.35">
      <c r="D61" s="4" t="s">
        <v>318</v>
      </c>
      <c r="E61" s="9" t="s">
        <v>350</v>
      </c>
      <c r="F61" t="s">
        <v>363</v>
      </c>
      <c r="G61" t="s">
        <v>362</v>
      </c>
      <c r="M61" s="33" t="s">
        <v>992</v>
      </c>
      <c r="N61" s="6" t="str">
        <f t="shared" si="0"/>
        <v>Key Object Document-Current Requested Procedure Evidence Sequence-Referenced Series Sequence-Referenced SOP Sequence</v>
      </c>
      <c r="O61" s="33" t="s">
        <v>992</v>
      </c>
      <c r="P61" t="str">
        <f t="shared" si="1"/>
        <v/>
      </c>
      <c r="Q61" s="33" t="s">
        <v>992</v>
      </c>
      <c r="R61" s="11" t="str">
        <f t="shared" si="2"/>
        <v>-</v>
      </c>
      <c r="S61" s="33" t="s">
        <v>992</v>
      </c>
      <c r="V61" s="6" t="str">
        <f>_xlfn.IFNA(VLOOKUP($U61, XtEHR!A:F,2,FALSE)&amp;"."&amp;TRIM(VLOOKUP($U61, XtEHR!A:F,3,FALSE)),"-")</f>
        <v>-</v>
      </c>
      <c r="AA61" t="str">
        <f>IF(LEN(Z61)&gt;0,_xlfn.XLOOKUP(Z61,FHIR!A:A,FHIR!E:E),"")</f>
        <v/>
      </c>
    </row>
    <row r="62" spans="4:33" ht="18.75" thickTop="1" thickBot="1" x14ac:dyDescent="0.35">
      <c r="D62" s="4" t="s">
        <v>318</v>
      </c>
      <c r="E62" s="9" t="s">
        <v>350</v>
      </c>
      <c r="F62" t="s">
        <v>363</v>
      </c>
      <c r="G62" t="s">
        <v>365</v>
      </c>
      <c r="J62">
        <v>1</v>
      </c>
      <c r="M62" s="33" t="s">
        <v>992</v>
      </c>
      <c r="N62" s="6" t="str">
        <f t="shared" si="0"/>
        <v>Key Object Document-Current Requested Procedure Evidence Sequence-Referenced Series Sequence-Series Instance UID</v>
      </c>
      <c r="O62" s="33" t="s">
        <v>992</v>
      </c>
      <c r="P62" t="str">
        <f t="shared" si="1"/>
        <v>ImagingStudy.series.uid</v>
      </c>
      <c r="Q62" s="33" t="s">
        <v>992</v>
      </c>
      <c r="R62" s="11" t="str">
        <f t="shared" si="2"/>
        <v>EHDSImagingStudy.series.seriesUid</v>
      </c>
      <c r="S62" s="33" t="s">
        <v>992</v>
      </c>
      <c r="U62" t="s">
        <v>554</v>
      </c>
      <c r="V62" s="6" t="str">
        <f>_xlfn.IFNA(VLOOKUP($U62, XtEHR!A:F,2,FALSE)&amp;"."&amp;TRIM(VLOOKUP($U62, XtEHR!A:F,3,FALSE)),"-")</f>
        <v>EHDSImagingStudy.series.seriesUid</v>
      </c>
      <c r="Z62" t="str">
        <f>_xlfn.XLOOKUP(U62,FHIR!M:M,FHIR!A:A)</f>
        <v>ImagingStudy25</v>
      </c>
      <c r="AA62" t="str">
        <f>IF(LEN(Z62)&gt;0,_xlfn.XLOOKUP(Z62,FHIR!A:A,FHIR!E:E),"")</f>
        <v>ImagingStudy.series.uid</v>
      </c>
    </row>
    <row r="63" spans="4:33" ht="18.75" thickTop="1" thickBot="1" x14ac:dyDescent="0.35">
      <c r="D63" s="4" t="s">
        <v>318</v>
      </c>
      <c r="E63" s="9" t="s">
        <v>350</v>
      </c>
      <c r="F63" t="s">
        <v>363</v>
      </c>
      <c r="G63" t="s">
        <v>360</v>
      </c>
      <c r="J63">
        <v>3</v>
      </c>
      <c r="M63" s="33" t="s">
        <v>992</v>
      </c>
      <c r="N63" s="6" t="str">
        <f t="shared" si="0"/>
        <v>Key Object Document-Current Requested Procedure Evidence Sequence-Referenced Series Sequence-Retrieve Location UID</v>
      </c>
      <c r="O63" s="33" t="s">
        <v>992</v>
      </c>
      <c r="P63" t="str">
        <f t="shared" si="1"/>
        <v>Endpoint-XcWADO.extension[locationUid]</v>
      </c>
      <c r="Q63" s="33" t="s">
        <v>992</v>
      </c>
      <c r="R63" s="11" t="str">
        <f t="shared" si="2"/>
        <v>-</v>
      </c>
      <c r="S63" s="33" t="s">
        <v>992</v>
      </c>
      <c r="V63" s="6" t="str">
        <f>_xlfn.IFNA(VLOOKUP($U63, XtEHR!A:F,2,FALSE)&amp;"."&amp;TRIM(VLOOKUP($U63, XtEHR!A:F,3,FALSE)),"-")</f>
        <v>-</v>
      </c>
      <c r="Z63" t="s">
        <v>927</v>
      </c>
      <c r="AA63" t="str">
        <f>IF(LEN(Z63)&gt;0,_xlfn.XLOOKUP(Z63,FHIR!A:A,FHIR!E:E),"")</f>
        <v>Endpoint-XcWADO.extension[locationUid]</v>
      </c>
      <c r="AD63" s="11" t="s">
        <v>338</v>
      </c>
      <c r="AE63" t="s">
        <v>371</v>
      </c>
      <c r="AF63" t="s">
        <v>372</v>
      </c>
    </row>
    <row r="64" spans="4:33" ht="18.75" thickTop="1" thickBot="1" x14ac:dyDescent="0.35">
      <c r="M64" s="33" t="s">
        <v>992</v>
      </c>
      <c r="N64" s="6" t="str">
        <f t="shared" si="0"/>
        <v/>
      </c>
      <c r="O64" s="33" t="s">
        <v>992</v>
      </c>
      <c r="P64" t="str">
        <f t="shared" si="1"/>
        <v/>
      </c>
      <c r="Q64" s="33" t="s">
        <v>992</v>
      </c>
      <c r="R64" s="11" t="str">
        <f t="shared" si="2"/>
        <v>-</v>
      </c>
      <c r="S64" s="33" t="s">
        <v>992</v>
      </c>
      <c r="V64" s="6" t="str">
        <f>_xlfn.IFNA(VLOOKUP($U64, XtEHR!A:F,2,FALSE)&amp;"."&amp;TRIM(VLOOKUP($U64, XtEHR!A:F,3,FALSE)),"-")</f>
        <v>-</v>
      </c>
      <c r="AA64" t="str">
        <f>IF(LEN(Z64)&gt;0,_xlfn.XLOOKUP(Z64,FHIR!A:A,FHIR!E:E),"")</f>
        <v/>
      </c>
    </row>
    <row r="65" spans="1:27" ht="18.75" thickTop="1" thickBot="1" x14ac:dyDescent="0.35">
      <c r="B65" s="4" t="s">
        <v>322</v>
      </c>
      <c r="C65" s="5" t="s">
        <v>323</v>
      </c>
      <c r="D65" s="9" t="s">
        <v>322</v>
      </c>
      <c r="E65" t="s">
        <v>385</v>
      </c>
      <c r="I65" s="13" t="s">
        <v>387</v>
      </c>
      <c r="M65" s="33" t="s">
        <v>992</v>
      </c>
      <c r="N65" s="6" t="str">
        <f t="shared" si="0"/>
        <v>SOP Common-SOP Class UID</v>
      </c>
      <c r="O65" s="33" t="s">
        <v>992</v>
      </c>
      <c r="P65" t="str">
        <f t="shared" si="1"/>
        <v/>
      </c>
      <c r="Q65" s="33" t="s">
        <v>992</v>
      </c>
      <c r="R65" s="11" t="str">
        <f t="shared" si="2"/>
        <v>-</v>
      </c>
      <c r="S65" s="33" t="s">
        <v>992</v>
      </c>
      <c r="V65" s="6" t="str">
        <f>_xlfn.IFNA(VLOOKUP($U65, XtEHR!A:F,2,FALSE)&amp;"."&amp;TRIM(VLOOKUP($U65, XtEHR!A:F,3,FALSE)),"-")</f>
        <v>-</v>
      </c>
      <c r="Y65" s="14"/>
      <c r="AA65" t="str">
        <f>IF(LEN(Z65)&gt;0,_xlfn.XLOOKUP(Z65,FHIR!A:A,FHIR!E:E),"")</f>
        <v/>
      </c>
    </row>
    <row r="66" spans="1:27" ht="18.75" thickTop="1" thickBot="1" x14ac:dyDescent="0.35">
      <c r="B66" s="4" t="s">
        <v>322</v>
      </c>
      <c r="C66" s="5" t="s">
        <v>323</v>
      </c>
      <c r="D66" s="9" t="s">
        <v>322</v>
      </c>
      <c r="E66" t="s">
        <v>386</v>
      </c>
      <c r="M66" s="33" t="s">
        <v>992</v>
      </c>
      <c r="N66" s="6" t="str">
        <f t="shared" si="0"/>
        <v>SOP Common-SOP Instance UID</v>
      </c>
      <c r="O66" s="33" t="s">
        <v>992</v>
      </c>
      <c r="P66" t="str">
        <f t="shared" si="1"/>
        <v/>
      </c>
      <c r="Q66" s="33" t="s">
        <v>992</v>
      </c>
      <c r="R66" s="11" t="str">
        <f t="shared" si="2"/>
        <v>-</v>
      </c>
      <c r="S66" s="33" t="s">
        <v>992</v>
      </c>
      <c r="V66" s="6" t="str">
        <f>_xlfn.IFNA(VLOOKUP($U66, XtEHR!A:F,2,FALSE)&amp;"."&amp;TRIM(VLOOKUP($U66, XtEHR!A:F,3,FALSE)),"-")</f>
        <v>-</v>
      </c>
      <c r="AA66" t="str">
        <f>IF(LEN(Z66)&gt;0,_xlfn.XLOOKUP(Z66,FHIR!A:A,FHIR!E:E),"")</f>
        <v/>
      </c>
    </row>
    <row r="67" spans="1:27" ht="18.75" thickTop="1" thickBot="1" x14ac:dyDescent="0.35">
      <c r="B67" s="4"/>
      <c r="C67" s="5"/>
      <c r="D67" s="9"/>
      <c r="M67" s="33" t="s">
        <v>992</v>
      </c>
      <c r="N67" s="6"/>
      <c r="O67" s="33" t="s">
        <v>992</v>
      </c>
      <c r="Q67" s="33" t="s">
        <v>992</v>
      </c>
      <c r="R67" s="11"/>
      <c r="S67" s="33" t="s">
        <v>992</v>
      </c>
      <c r="V67" s="6"/>
      <c r="AA67" t="str">
        <f>IF(LEN(Z67)&gt;0,_xlfn.XLOOKUP(Z67,FHIR!A:A,FHIR!E:E),"")</f>
        <v/>
      </c>
    </row>
    <row r="68" spans="1:27" ht="37.5" thickTop="1" thickBot="1" x14ac:dyDescent="0.35">
      <c r="A68" s="4" t="s">
        <v>311</v>
      </c>
      <c r="B68" s="4" t="s">
        <v>312</v>
      </c>
      <c r="C68" s="5" t="s">
        <v>313</v>
      </c>
      <c r="D68" s="4" t="s">
        <v>312</v>
      </c>
      <c r="E68" s="4" t="s">
        <v>377</v>
      </c>
      <c r="K68" t="s">
        <v>91</v>
      </c>
      <c r="M68" s="33" t="s">
        <v>992</v>
      </c>
      <c r="N68" s="6" t="str">
        <f t="shared" ref="N68:N97" si="3">D68&amp;IF(LEN(E68)&gt;0,"-","")&amp;E68&amp;IF(LEN(F68)&gt;0,"-","")&amp;F68&amp;IF(LEN(G68)&gt;0,"-","")&amp;G68&amp;IF(LEN(H68)&gt;0,"-","")&amp;H68</f>
        <v>Key Object Document Series-Series Date</v>
      </c>
      <c r="O68" s="33" t="s">
        <v>992</v>
      </c>
      <c r="P68" t="str">
        <f t="shared" ref="P68:P80" si="4">T(AA68)</f>
        <v>ImagingStudy.series.started</v>
      </c>
      <c r="Q68" s="33" t="s">
        <v>992</v>
      </c>
      <c r="R68" s="11" t="str">
        <f t="shared" ref="R68:R97" si="5">+V68</f>
        <v>EHDSImagingStudy.series.started</v>
      </c>
      <c r="S68" s="33" t="s">
        <v>992</v>
      </c>
      <c r="U68" t="s">
        <v>562</v>
      </c>
      <c r="V68" s="6" t="str">
        <f>_xlfn.IFNA(VLOOKUP($U68, XtEHR!A:F,2,FALSE)&amp;"."&amp;TRIM(VLOOKUP($U68, XtEHR!A:F,3,FALSE)),"-")</f>
        <v>EHDSImagingStudy.series.started</v>
      </c>
      <c r="Z68" t="str">
        <f>_xlfn.XLOOKUP(U68,FHIR!M:M,FHIR!A:A)</f>
        <v>ImagingStudy34</v>
      </c>
      <c r="AA68" t="str">
        <f>IF(LEN(Z68)&gt;0,_xlfn.XLOOKUP(Z68,FHIR!A:A,FHIR!E:E),"")</f>
        <v>ImagingStudy.series.started</v>
      </c>
    </row>
    <row r="69" spans="1:27" ht="37.5" thickTop="1" thickBot="1" x14ac:dyDescent="0.35">
      <c r="B69" s="4" t="s">
        <v>312</v>
      </c>
      <c r="C69" s="5" t="s">
        <v>313</v>
      </c>
      <c r="D69" s="4" t="s">
        <v>312</v>
      </c>
      <c r="E69" t="s">
        <v>378</v>
      </c>
      <c r="K69" t="s">
        <v>91</v>
      </c>
      <c r="M69" s="33" t="s">
        <v>992</v>
      </c>
      <c r="N69" s="6" t="str">
        <f t="shared" si="3"/>
        <v>Key Object Document Series-Series Time</v>
      </c>
      <c r="O69" s="33" t="s">
        <v>992</v>
      </c>
      <c r="P69" t="str">
        <f t="shared" si="4"/>
        <v>ImagingStudy.series.started</v>
      </c>
      <c r="Q69" s="33" t="s">
        <v>992</v>
      </c>
      <c r="R69" s="11" t="str">
        <f t="shared" si="5"/>
        <v>EHDSImagingStudy.series.started</v>
      </c>
      <c r="S69" s="33" t="s">
        <v>992</v>
      </c>
      <c r="U69" t="s">
        <v>562</v>
      </c>
      <c r="V69" s="6" t="str">
        <f>_xlfn.IFNA(VLOOKUP($U69, XtEHR!A:F,2,FALSE)&amp;"."&amp;TRIM(VLOOKUP($U69, XtEHR!A:F,3,FALSE)),"-")</f>
        <v>EHDSImagingStudy.series.started</v>
      </c>
      <c r="Z69" t="str">
        <f>_xlfn.XLOOKUP(U69,FHIR!M:M,FHIR!A:A)</f>
        <v>ImagingStudy34</v>
      </c>
      <c r="AA69" t="str">
        <f>IF(LEN(Z69)&gt;0,_xlfn.XLOOKUP(Z69,FHIR!A:A,FHIR!E:E),"")</f>
        <v>ImagingStudy.series.started</v>
      </c>
    </row>
    <row r="70" spans="1:27" ht="37.5" thickTop="1" thickBot="1" x14ac:dyDescent="0.35">
      <c r="A70" s="4" t="s">
        <v>311</v>
      </c>
      <c r="B70" s="4" t="s">
        <v>312</v>
      </c>
      <c r="C70" s="5" t="s">
        <v>313</v>
      </c>
      <c r="D70" s="4" t="s">
        <v>312</v>
      </c>
      <c r="E70" s="4" t="s">
        <v>377</v>
      </c>
      <c r="K70" t="s">
        <v>91</v>
      </c>
      <c r="M70" s="33" t="s">
        <v>992</v>
      </c>
      <c r="N70" s="6" t="str">
        <f t="shared" ref="N70:N71" si="6">D70&amp;IF(LEN(E70)&gt;0,"-","")&amp;E70&amp;IF(LEN(F70)&gt;0,"-","")&amp;F70&amp;IF(LEN(G70)&gt;0,"-","")&amp;G70&amp;IF(LEN(H70)&gt;0,"-","")&amp;H70</f>
        <v>Key Object Document Series-Series Date</v>
      </c>
      <c r="O70" s="33" t="s">
        <v>992</v>
      </c>
      <c r="P70" t="str">
        <f t="shared" ref="P70:P71" si="7">T(AA70)</f>
        <v>ImagingStudy.started</v>
      </c>
      <c r="Q70" s="33" t="s">
        <v>992</v>
      </c>
      <c r="R70" s="11" t="str">
        <f t="shared" ref="R70:R71" si="8">+V70</f>
        <v>EHDSImagingStudy.started</v>
      </c>
      <c r="S70" s="33" t="s">
        <v>992</v>
      </c>
      <c r="U70" t="s">
        <v>546</v>
      </c>
      <c r="V70" s="6" t="str">
        <f>_xlfn.IFNA(VLOOKUP($U70, XtEHR!A:F,2,FALSE)&amp;"."&amp;TRIM(VLOOKUP($U70, XtEHR!A:F,3,FALSE)),"-")</f>
        <v>EHDSImagingStudy.started</v>
      </c>
      <c r="Z70" t="str">
        <f>_xlfn.XLOOKUP(U70,FHIR!M:M,FHIR!A:A)</f>
        <v>ImagingStudy10</v>
      </c>
      <c r="AA70" t="str">
        <f>IF(LEN(Z70)&gt;0,_xlfn.XLOOKUP(Z70,FHIR!A:A,FHIR!E:E),"")</f>
        <v>ImagingStudy.started</v>
      </c>
    </row>
    <row r="71" spans="1:27" ht="37.5" thickTop="1" thickBot="1" x14ac:dyDescent="0.35">
      <c r="B71" s="4" t="s">
        <v>312</v>
      </c>
      <c r="C71" s="5" t="s">
        <v>313</v>
      </c>
      <c r="D71" s="4" t="s">
        <v>312</v>
      </c>
      <c r="E71" t="s">
        <v>378</v>
      </c>
      <c r="K71" t="s">
        <v>91</v>
      </c>
      <c r="M71" s="33" t="s">
        <v>992</v>
      </c>
      <c r="N71" s="6" t="str">
        <f t="shared" si="6"/>
        <v>Key Object Document Series-Series Time</v>
      </c>
      <c r="O71" s="33" t="s">
        <v>992</v>
      </c>
      <c r="P71" t="str">
        <f t="shared" si="7"/>
        <v>ImagingStudy.started</v>
      </c>
      <c r="Q71" s="33" t="s">
        <v>992</v>
      </c>
      <c r="R71" s="11" t="str">
        <f t="shared" si="8"/>
        <v>EHDSImagingStudy.started</v>
      </c>
      <c r="S71" s="33" t="s">
        <v>992</v>
      </c>
      <c r="U71" t="s">
        <v>546</v>
      </c>
      <c r="V71" s="6" t="str">
        <f>_xlfn.IFNA(VLOOKUP($U71, XtEHR!A:F,2,FALSE)&amp;"."&amp;TRIM(VLOOKUP($U71, XtEHR!A:F,3,FALSE)),"-")</f>
        <v>EHDSImagingStudy.started</v>
      </c>
      <c r="Z71" t="str">
        <f>_xlfn.XLOOKUP(U71,FHIR!M:M,FHIR!A:A)</f>
        <v>ImagingStudy10</v>
      </c>
      <c r="AA71" t="str">
        <f>IF(LEN(Z71)&gt;0,_xlfn.XLOOKUP(Z71,FHIR!A:A,FHIR!E:E),"")</f>
        <v>ImagingStudy.started</v>
      </c>
    </row>
    <row r="72" spans="1:27" ht="37.5" thickTop="1" thickBot="1" x14ac:dyDescent="0.35">
      <c r="B72" s="4" t="s">
        <v>312</v>
      </c>
      <c r="C72" s="5" t="s">
        <v>313</v>
      </c>
      <c r="D72" s="4" t="s">
        <v>312</v>
      </c>
      <c r="E72" t="s">
        <v>328</v>
      </c>
      <c r="J72">
        <v>1</v>
      </c>
      <c r="M72" s="33" t="s">
        <v>992</v>
      </c>
      <c r="N72" s="6" t="str">
        <f t="shared" si="3"/>
        <v>Key Object Document Series-Modality</v>
      </c>
      <c r="O72" s="33" t="s">
        <v>992</v>
      </c>
      <c r="P72" t="str">
        <f t="shared" si="4"/>
        <v>ImagingStudy.series.modality</v>
      </c>
      <c r="Q72" s="33" t="s">
        <v>992</v>
      </c>
      <c r="R72" s="11" t="str">
        <f t="shared" si="5"/>
        <v>EHDSImagingStudy.series.seriesModality</v>
      </c>
      <c r="S72" s="33" t="s">
        <v>992</v>
      </c>
      <c r="U72" t="s">
        <v>556</v>
      </c>
      <c r="V72" s="6" t="str">
        <f>_xlfn.IFNA(VLOOKUP($U72, XtEHR!A:F,2,FALSE)&amp;"."&amp;TRIM(VLOOKUP($U72, XtEHR!A:F,3,FALSE)),"-")</f>
        <v>EHDSImagingStudy.series.seriesModality</v>
      </c>
      <c r="Z72" t="str">
        <f>_xlfn.XLOOKUP(U72,FHIR!M:M,FHIR!A:A)</f>
        <v>ImagingStudy27</v>
      </c>
      <c r="AA72" t="str">
        <f>IF(LEN(Z72)&gt;0,_xlfn.XLOOKUP(Z72,FHIR!A:A,FHIR!E:E),"")</f>
        <v>ImagingStudy.series.modality</v>
      </c>
    </row>
    <row r="73" spans="1:27" ht="37.5" thickTop="1" thickBot="1" x14ac:dyDescent="0.35">
      <c r="B73" s="4" t="s">
        <v>312</v>
      </c>
      <c r="C73" s="5" t="s">
        <v>313</v>
      </c>
      <c r="D73" s="4" t="s">
        <v>312</v>
      </c>
      <c r="E73" t="s">
        <v>379</v>
      </c>
      <c r="K73" t="s">
        <v>91</v>
      </c>
      <c r="M73" s="33" t="s">
        <v>992</v>
      </c>
      <c r="N73" s="6" t="str">
        <f t="shared" si="3"/>
        <v>Key Object Document Series-Series Description</v>
      </c>
      <c r="O73" s="33" t="s">
        <v>992</v>
      </c>
      <c r="P73" t="str">
        <f t="shared" si="4"/>
        <v>ImagingStudy.series.description</v>
      </c>
      <c r="Q73" s="33" t="s">
        <v>992</v>
      </c>
      <c r="R73" s="11" t="str">
        <f t="shared" si="5"/>
        <v>EHDSImagingStudy.series.description</v>
      </c>
      <c r="S73" s="33" t="s">
        <v>992</v>
      </c>
      <c r="U73" t="s">
        <v>557</v>
      </c>
      <c r="V73" s="6" t="str">
        <f>_xlfn.IFNA(VLOOKUP($U73, XtEHR!A:F,2,FALSE)&amp;"."&amp;TRIM(VLOOKUP($U73, XtEHR!A:F,3,FALSE)),"-")</f>
        <v>EHDSImagingStudy.series.description</v>
      </c>
      <c r="Z73" t="str">
        <f>_xlfn.XLOOKUP(U73,FHIR!M:M,FHIR!A:A)</f>
        <v>ImagingStudy28</v>
      </c>
      <c r="AA73" t="str">
        <f>IF(LEN(Z73)&gt;0,_xlfn.XLOOKUP(Z73,FHIR!A:A,FHIR!E:E),"")</f>
        <v>ImagingStudy.series.description</v>
      </c>
    </row>
    <row r="74" spans="1:27" ht="37.5" thickTop="1" thickBot="1" x14ac:dyDescent="0.35">
      <c r="B74" s="4" t="s">
        <v>312</v>
      </c>
      <c r="C74" s="5" t="s">
        <v>313</v>
      </c>
      <c r="D74" s="4" t="s">
        <v>312</v>
      </c>
      <c r="E74" t="s">
        <v>380</v>
      </c>
      <c r="J74">
        <v>2</v>
      </c>
      <c r="M74" s="33" t="s">
        <v>992</v>
      </c>
      <c r="N74" s="6" t="str">
        <f t="shared" si="3"/>
        <v>Key Object Document Series-Series Description Code Sequence</v>
      </c>
      <c r="O74" s="33" t="s">
        <v>992</v>
      </c>
      <c r="P74" t="str">
        <f t="shared" si="4"/>
        <v>ImagingStudy.series.description</v>
      </c>
      <c r="Q74" s="33" t="s">
        <v>992</v>
      </c>
      <c r="R74" s="11" t="str">
        <f t="shared" si="5"/>
        <v>-</v>
      </c>
      <c r="S74" s="33" t="s">
        <v>992</v>
      </c>
      <c r="V74" s="6" t="str">
        <f>_xlfn.IFNA(VLOOKUP($U74, XtEHR!A:F,2,FALSE)&amp;"."&amp;TRIM(VLOOKUP($U74, XtEHR!A:F,3,FALSE)),"-")</f>
        <v>-</v>
      </c>
      <c r="Z74" t="s">
        <v>815</v>
      </c>
      <c r="AA74" t="str">
        <f>IF(LEN(Z74)&gt;0,_xlfn.XLOOKUP(Z74,FHIR!A:A,FHIR!E:E),"")</f>
        <v>ImagingStudy.series.description</v>
      </c>
    </row>
    <row r="75" spans="1:27" ht="37.5" thickTop="1" thickBot="1" x14ac:dyDescent="0.35">
      <c r="B75" s="4" t="s">
        <v>312</v>
      </c>
      <c r="C75" s="5" t="s">
        <v>313</v>
      </c>
      <c r="D75" s="4" t="s">
        <v>312</v>
      </c>
      <c r="E75" t="s">
        <v>382</v>
      </c>
      <c r="M75" s="33" t="s">
        <v>992</v>
      </c>
      <c r="N75" s="6" t="str">
        <f t="shared" si="3"/>
        <v>Key Object Document Series-Protocol Name</v>
      </c>
      <c r="O75" s="33" t="s">
        <v>992</v>
      </c>
      <c r="P75" t="str">
        <f t="shared" si="4"/>
        <v/>
      </c>
      <c r="Q75" s="33" t="s">
        <v>992</v>
      </c>
      <c r="R75" s="11" t="str">
        <f t="shared" si="5"/>
        <v>-</v>
      </c>
      <c r="S75" s="33" t="s">
        <v>992</v>
      </c>
      <c r="V75" s="6" t="str">
        <f>_xlfn.IFNA(VLOOKUP($U75, XtEHR!A:F,2,FALSE)&amp;"."&amp;TRIM(VLOOKUP($U75, XtEHR!A:F,3,FALSE)),"-")</f>
        <v>-</v>
      </c>
      <c r="AA75" t="str">
        <f>IF(LEN(Z75)&gt;0,_xlfn.XLOOKUP(Z75,FHIR!A:A,FHIR!E:E),"")</f>
        <v/>
      </c>
    </row>
    <row r="76" spans="1:27" ht="37.5" thickTop="1" thickBot="1" x14ac:dyDescent="0.35">
      <c r="B76" s="4" t="s">
        <v>312</v>
      </c>
      <c r="C76" s="5" t="s">
        <v>313</v>
      </c>
      <c r="D76" s="4" t="s">
        <v>312</v>
      </c>
      <c r="E76" t="s">
        <v>383</v>
      </c>
      <c r="J76">
        <v>1</v>
      </c>
      <c r="M76" s="33" t="s">
        <v>992</v>
      </c>
      <c r="N76" s="6" t="str">
        <f t="shared" si="3"/>
        <v>Key Object Document Series-Series Number</v>
      </c>
      <c r="O76" s="33" t="s">
        <v>992</v>
      </c>
      <c r="P76" t="str">
        <f t="shared" si="4"/>
        <v>ImagingStudy.series.number</v>
      </c>
      <c r="Q76" s="33" t="s">
        <v>992</v>
      </c>
      <c r="R76" s="11" t="str">
        <f t="shared" si="5"/>
        <v>EHDSImagingStudy.series.number</v>
      </c>
      <c r="S76" s="33" t="s">
        <v>992</v>
      </c>
      <c r="U76" t="s">
        <v>555</v>
      </c>
      <c r="V76" s="6" t="str">
        <f>_xlfn.IFNA(VLOOKUP($U76, XtEHR!A:F,2,FALSE)&amp;"."&amp;TRIM(VLOOKUP($U76, XtEHR!A:F,3,FALSE)),"-")</f>
        <v>EHDSImagingStudy.series.number</v>
      </c>
      <c r="Z76" t="str">
        <f>_xlfn.XLOOKUP(U76,FHIR!M:M,FHIR!A:A)</f>
        <v>ImagingStudy26</v>
      </c>
      <c r="AA76" t="str">
        <f>IF(LEN(Z76)&gt;0,_xlfn.XLOOKUP(Z76,FHIR!A:A,FHIR!E:E),"")</f>
        <v>ImagingStudy.series.number</v>
      </c>
    </row>
    <row r="77" spans="1:27" ht="37.5" thickTop="1" thickBot="1" x14ac:dyDescent="0.35">
      <c r="B77" s="4" t="s">
        <v>312</v>
      </c>
      <c r="C77" s="5" t="s">
        <v>313</v>
      </c>
      <c r="D77" s="4" t="s">
        <v>312</v>
      </c>
      <c r="E77" t="s">
        <v>365</v>
      </c>
      <c r="J77">
        <v>1</v>
      </c>
      <c r="M77" s="33" t="s">
        <v>992</v>
      </c>
      <c r="N77" s="6" t="str">
        <f t="shared" si="3"/>
        <v>Key Object Document Series-Series Instance UID</v>
      </c>
      <c r="O77" s="33" t="s">
        <v>992</v>
      </c>
      <c r="P77" t="str">
        <f t="shared" si="4"/>
        <v>ImagingStudy.series.uid</v>
      </c>
      <c r="Q77" s="33" t="s">
        <v>992</v>
      </c>
      <c r="R77" s="11" t="str">
        <f t="shared" si="5"/>
        <v>EHDSImagingStudy.series.seriesUid</v>
      </c>
      <c r="S77" s="33" t="s">
        <v>992</v>
      </c>
      <c r="U77" t="s">
        <v>554</v>
      </c>
      <c r="V77" s="6" t="str">
        <f>_xlfn.IFNA(VLOOKUP($U77, XtEHR!A:F,2,FALSE)&amp;"."&amp;TRIM(VLOOKUP($U77, XtEHR!A:F,3,FALSE)),"-")</f>
        <v>EHDSImagingStudy.series.seriesUid</v>
      </c>
      <c r="Z77" t="str">
        <f>_xlfn.XLOOKUP(U77,FHIR!M:M,FHIR!A:A)</f>
        <v>ImagingStudy25</v>
      </c>
      <c r="AA77" t="str">
        <f>IF(LEN(Z77)&gt;0,_xlfn.XLOOKUP(Z77,FHIR!A:A,FHIR!E:E),"")</f>
        <v>ImagingStudy.series.uid</v>
      </c>
    </row>
    <row r="78" spans="1:27" ht="18.75" thickTop="1" thickBot="1" x14ac:dyDescent="0.35">
      <c r="M78" s="33" t="s">
        <v>992</v>
      </c>
      <c r="N78" s="6" t="str">
        <f t="shared" si="3"/>
        <v/>
      </c>
      <c r="O78" s="33" t="s">
        <v>992</v>
      </c>
      <c r="P78" t="str">
        <f t="shared" si="4"/>
        <v/>
      </c>
      <c r="Q78" s="33" t="s">
        <v>992</v>
      </c>
      <c r="R78" s="11" t="str">
        <f t="shared" si="5"/>
        <v>-</v>
      </c>
      <c r="S78" s="33" t="s">
        <v>992</v>
      </c>
      <c r="V78" s="6" t="str">
        <f>_xlfn.IFNA(VLOOKUP($U78, XtEHR!A:F,2,FALSE)&amp;"."&amp;TRIM(VLOOKUP($U78, XtEHR!A:F,3,FALSE)),"-")</f>
        <v>-</v>
      </c>
      <c r="AA78" t="str">
        <f>IF(LEN(Z78)&gt;0,_xlfn.XLOOKUP(Z78,FHIR!A:A,FHIR!E:E),"")</f>
        <v/>
      </c>
    </row>
    <row r="79" spans="1:27" ht="25.5" thickTop="1" thickBot="1" x14ac:dyDescent="0.35">
      <c r="B79" s="4" t="s">
        <v>320</v>
      </c>
      <c r="C79" s="5" t="s">
        <v>321</v>
      </c>
      <c r="D79" s="4" t="s">
        <v>320</v>
      </c>
      <c r="E79" t="s">
        <v>388</v>
      </c>
      <c r="F79" t="s">
        <v>390</v>
      </c>
      <c r="I79">
        <v>2010</v>
      </c>
      <c r="J79" t="s">
        <v>389</v>
      </c>
      <c r="M79" s="33" t="s">
        <v>992</v>
      </c>
      <c r="N79" s="6" t="str">
        <f t="shared" si="3"/>
        <v>SR Document Content-Content Template Sequence-Template Identifier</v>
      </c>
      <c r="O79" s="33" t="s">
        <v>992</v>
      </c>
      <c r="P79" t="str">
        <f t="shared" si="4"/>
        <v/>
      </c>
      <c r="Q79" s="33" t="s">
        <v>992</v>
      </c>
      <c r="R79" s="11" t="str">
        <f t="shared" si="5"/>
        <v>-</v>
      </c>
      <c r="S79" s="33" t="s">
        <v>992</v>
      </c>
      <c r="V79" s="6" t="str">
        <f>_xlfn.IFNA(VLOOKUP($U79, XtEHR!A:F,2,FALSE)&amp;"."&amp;TRIM(VLOOKUP($U79, XtEHR!A:F,3,FALSE)),"-")</f>
        <v>-</v>
      </c>
      <c r="AA79" t="str">
        <f>IF(LEN(Z79)&gt;0,_xlfn.XLOOKUP(Z79,FHIR!A:A,FHIR!E:E),"")</f>
        <v/>
      </c>
    </row>
    <row r="80" spans="1:27" ht="18.75" thickTop="1" thickBot="1" x14ac:dyDescent="0.35">
      <c r="D80" s="4" t="s">
        <v>320</v>
      </c>
      <c r="E80" t="s">
        <v>388</v>
      </c>
      <c r="F80" t="s">
        <v>390</v>
      </c>
      <c r="I80" t="s">
        <v>391</v>
      </c>
      <c r="J80">
        <v>1</v>
      </c>
      <c r="M80" s="33" t="s">
        <v>992</v>
      </c>
      <c r="N80" s="6" t="str">
        <f t="shared" si="3"/>
        <v>SR Document Content-Content Template Sequence-Template Identifier</v>
      </c>
      <c r="O80" s="33" t="s">
        <v>992</v>
      </c>
      <c r="P80" t="str">
        <f t="shared" si="4"/>
        <v/>
      </c>
      <c r="Q80" s="33" t="s">
        <v>992</v>
      </c>
      <c r="R80" s="11" t="str">
        <f t="shared" si="5"/>
        <v>-</v>
      </c>
      <c r="S80" s="33" t="s">
        <v>992</v>
      </c>
      <c r="V80" s="6" t="str">
        <f>_xlfn.IFNA(VLOOKUP($U80, XtEHR!A:F,2,FALSE)&amp;"."&amp;TRIM(VLOOKUP($U80, XtEHR!A:F,3,FALSE)),"-")</f>
        <v>-</v>
      </c>
      <c r="AA80" t="str">
        <f>IF(LEN(Z80)&gt;0,_xlfn.XLOOKUP(Z80,FHIR!A:A,FHIR!E:E),"")</f>
        <v/>
      </c>
    </row>
    <row r="81" spans="4:31" ht="18.75" thickTop="1" thickBot="1" x14ac:dyDescent="0.35">
      <c r="M81" s="33" t="s">
        <v>992</v>
      </c>
      <c r="N81" s="6" t="str">
        <f t="shared" si="3"/>
        <v/>
      </c>
      <c r="O81" s="33" t="s">
        <v>992</v>
      </c>
      <c r="P81" t="str">
        <f>T(AA81)</f>
        <v/>
      </c>
      <c r="Q81" s="33" t="s">
        <v>992</v>
      </c>
      <c r="R81" s="11" t="str">
        <f t="shared" si="5"/>
        <v>-</v>
      </c>
      <c r="S81" s="33" t="s">
        <v>992</v>
      </c>
      <c r="V81" s="6" t="str">
        <f>_xlfn.IFNA(VLOOKUP($U81, XtEHR!A:F,2,FALSE)&amp;"."&amp;TRIM(VLOOKUP($U81, XtEHR!A:F,3,FALSE)),"-")</f>
        <v>-</v>
      </c>
      <c r="AA81" t="str">
        <f>IF(LEN(Z81)&gt;0,_xlfn.XLOOKUP(Z81,FHIR!A:A,FHIR!E:E),"")</f>
        <v/>
      </c>
    </row>
    <row r="82" spans="4:31" ht="18.75" thickTop="1" thickBot="1" x14ac:dyDescent="0.35">
      <c r="D82" s="20" t="s">
        <v>440</v>
      </c>
      <c r="E82" s="20" t="s">
        <v>441</v>
      </c>
      <c r="F82" s="20"/>
      <c r="G82" s="20"/>
      <c r="H82" s="20"/>
      <c r="I82" s="20"/>
      <c r="J82" s="20">
        <v>1</v>
      </c>
      <c r="M82" s="33" t="s">
        <v>992</v>
      </c>
      <c r="N82" s="6" t="str">
        <f t="shared" si="3"/>
        <v>Specimen module-Container Identifier</v>
      </c>
      <c r="O82" s="33" t="s">
        <v>992</v>
      </c>
      <c r="P82" t="str">
        <f t="shared" ref="P82:P97" si="9">T(AA82)</f>
        <v/>
      </c>
      <c r="Q82" s="33" t="s">
        <v>992</v>
      </c>
      <c r="R82" s="11" t="str">
        <f t="shared" si="5"/>
        <v>EHDSDevice-Container.instanceIdentifier</v>
      </c>
      <c r="S82" s="33" t="s">
        <v>992</v>
      </c>
      <c r="U82" t="s">
        <v>861</v>
      </c>
      <c r="V82" s="6" t="str">
        <f>_xlfn.IFNA(VLOOKUP($U82, XtEHR!A:F,2,FALSE)&amp;"."&amp;TRIM(VLOOKUP($U82, XtEHR!A:F,3,FALSE)),"-")</f>
        <v>EHDSDevice-Container.instanceIdentifier</v>
      </c>
      <c r="Z82" t="s">
        <v>964</v>
      </c>
      <c r="AA82">
        <f>IF(LEN(Z82)&gt;0,_xlfn.XLOOKUP(Z82,FHIR!A:A,FHIR!E:E),"")</f>
        <v>0</v>
      </c>
      <c r="AD82" t="s">
        <v>457</v>
      </c>
      <c r="AE82" t="s">
        <v>458</v>
      </c>
    </row>
    <row r="83" spans="4:31" ht="18.75" thickTop="1" thickBot="1" x14ac:dyDescent="0.35">
      <c r="D83" s="20" t="s">
        <v>440</v>
      </c>
      <c r="E83" s="20" t="s">
        <v>442</v>
      </c>
      <c r="F83" s="20"/>
      <c r="G83" s="20"/>
      <c r="H83" s="20"/>
      <c r="I83" s="20"/>
      <c r="J83" s="20">
        <v>2</v>
      </c>
      <c r="M83" s="33" t="s">
        <v>992</v>
      </c>
      <c r="N83" s="6" t="str">
        <f t="shared" si="3"/>
        <v>Specimen module-Issuer of container identifier</v>
      </c>
      <c r="O83" s="33" t="s">
        <v>992</v>
      </c>
      <c r="P83" t="str">
        <f t="shared" si="9"/>
        <v/>
      </c>
      <c r="Q83" s="33" t="s">
        <v>992</v>
      </c>
      <c r="R83" s="11" t="str">
        <f t="shared" si="5"/>
        <v>EHDSDevice-Container.instanceIdentifier</v>
      </c>
      <c r="S83" s="33" t="s">
        <v>992</v>
      </c>
      <c r="U83" t="s">
        <v>861</v>
      </c>
      <c r="V83" s="6" t="str">
        <f>_xlfn.IFNA(VLOOKUP($U83, XtEHR!A:F,2,FALSE)&amp;"."&amp;TRIM(VLOOKUP($U83, XtEHR!A:F,3,FALSE)),"-")</f>
        <v>EHDSDevice-Container.instanceIdentifier</v>
      </c>
      <c r="Z83" t="s">
        <v>964</v>
      </c>
      <c r="AA83">
        <f>IF(LEN(Z83)&gt;0,_xlfn.XLOOKUP(Z83,FHIR!A:A,FHIR!E:E),"")</f>
        <v>0</v>
      </c>
      <c r="AD83" t="s">
        <v>457</v>
      </c>
      <c r="AE83" t="s">
        <v>458</v>
      </c>
    </row>
    <row r="84" spans="4:31" ht="18.75" thickTop="1" thickBot="1" x14ac:dyDescent="0.35">
      <c r="D84" s="20" t="s">
        <v>440</v>
      </c>
      <c r="E84" s="20" t="s">
        <v>443</v>
      </c>
      <c r="F84" s="20"/>
      <c r="G84" s="20"/>
      <c r="H84" s="20"/>
      <c r="I84" s="20"/>
      <c r="J84" s="20"/>
      <c r="M84" s="33" t="s">
        <v>992</v>
      </c>
      <c r="N84" s="6" t="str">
        <f t="shared" si="3"/>
        <v>Specimen module-alternate container identifier</v>
      </c>
      <c r="O84" s="33" t="s">
        <v>992</v>
      </c>
      <c r="P84" t="str">
        <f t="shared" si="9"/>
        <v/>
      </c>
      <c r="Q84" s="33" t="s">
        <v>992</v>
      </c>
      <c r="R84" s="11" t="str">
        <f t="shared" si="5"/>
        <v>-</v>
      </c>
      <c r="S84" s="33" t="s">
        <v>992</v>
      </c>
      <c r="V84" s="6" t="str">
        <f>_xlfn.IFNA(VLOOKUP($U84, XtEHR!A:F,2,FALSE)&amp;"."&amp;TRIM(VLOOKUP($U84, XtEHR!A:F,3,FALSE)),"-")</f>
        <v>-</v>
      </c>
      <c r="Z84" t="s">
        <v>964</v>
      </c>
      <c r="AA84">
        <f>IF(LEN(Z84)&gt;0,_xlfn.XLOOKUP(Z84,FHIR!A:A,FHIR!E:E),"")</f>
        <v>0</v>
      </c>
      <c r="AD84" t="s">
        <v>457</v>
      </c>
      <c r="AE84" t="s">
        <v>458</v>
      </c>
    </row>
    <row r="85" spans="4:31" ht="18.75" thickTop="1" thickBot="1" x14ac:dyDescent="0.35">
      <c r="D85" s="20" t="s">
        <v>440</v>
      </c>
      <c r="E85" s="20" t="s">
        <v>444</v>
      </c>
      <c r="F85" s="20"/>
      <c r="G85" s="20"/>
      <c r="H85" s="20"/>
      <c r="I85" s="20"/>
      <c r="J85" s="20"/>
      <c r="M85" s="33" t="s">
        <v>992</v>
      </c>
      <c r="N85" s="6" t="str">
        <f t="shared" si="3"/>
        <v>Specimen module-Container type code sequence</v>
      </c>
      <c r="O85" s="33" t="s">
        <v>992</v>
      </c>
      <c r="P85" t="str">
        <f t="shared" si="9"/>
        <v/>
      </c>
      <c r="Q85" s="33" t="s">
        <v>992</v>
      </c>
      <c r="R85" s="11" t="str">
        <f t="shared" si="5"/>
        <v>EHDSDevice-Container.type</v>
      </c>
      <c r="S85" s="33" t="s">
        <v>992</v>
      </c>
      <c r="U85" t="s">
        <v>872</v>
      </c>
      <c r="V85" s="6" t="str">
        <f>_xlfn.IFNA(VLOOKUP($U85, XtEHR!A:F,2,FALSE)&amp;"."&amp;TRIM(VLOOKUP($U85, XtEHR!A:F,3,FALSE)),"-")</f>
        <v>EHDSDevice-Container.type</v>
      </c>
      <c r="Z85" t="s">
        <v>975</v>
      </c>
      <c r="AA85">
        <f>IF(LEN(Z85)&gt;0,_xlfn.XLOOKUP(Z85,FHIR!A:A,FHIR!E:E),"")</f>
        <v>0</v>
      </c>
      <c r="AD85" t="s">
        <v>457</v>
      </c>
      <c r="AE85" t="s">
        <v>459</v>
      </c>
    </row>
    <row r="86" spans="4:31" ht="18.75" thickTop="1" thickBot="1" x14ac:dyDescent="0.35">
      <c r="D86" s="20" t="s">
        <v>440</v>
      </c>
      <c r="E86" s="20" t="s">
        <v>445</v>
      </c>
      <c r="F86" s="20"/>
      <c r="G86" s="20"/>
      <c r="H86" s="20"/>
      <c r="I86" s="20"/>
      <c r="J86" s="20"/>
      <c r="M86" s="33" t="s">
        <v>992</v>
      </c>
      <c r="N86" s="6" t="str">
        <f t="shared" si="3"/>
        <v>Specimen module-Container description</v>
      </c>
      <c r="O86" s="33" t="s">
        <v>992</v>
      </c>
      <c r="P86" t="str">
        <f t="shared" si="9"/>
        <v/>
      </c>
      <c r="Q86" s="33" t="s">
        <v>992</v>
      </c>
      <c r="R86" s="11" t="str">
        <f t="shared" si="5"/>
        <v>-</v>
      </c>
      <c r="S86" s="33" t="s">
        <v>992</v>
      </c>
      <c r="U86" t="s">
        <v>847</v>
      </c>
      <c r="V86" s="6" t="str">
        <f>_xlfn.IFNA(VLOOKUP($U86, XtEHR!A:F,2,FALSE)&amp;"."&amp;TRIM(VLOOKUP($U86, XtEHR!A:F,3,FALSE)),"-")</f>
        <v>-</v>
      </c>
      <c r="AA86" t="str">
        <f>IF(LEN(Z86)&gt;0,_xlfn.XLOOKUP(Z86,FHIR!A:A,FHIR!E:E),"")</f>
        <v/>
      </c>
      <c r="AD86" t="s">
        <v>457</v>
      </c>
      <c r="AE86" t="s">
        <v>460</v>
      </c>
    </row>
    <row r="87" spans="4:31" ht="18.75" thickTop="1" thickBot="1" x14ac:dyDescent="0.35">
      <c r="D87" s="20" t="s">
        <v>440</v>
      </c>
      <c r="E87" s="20" t="s">
        <v>446</v>
      </c>
      <c r="F87" s="20"/>
      <c r="G87" s="20"/>
      <c r="H87" s="20"/>
      <c r="I87" s="20"/>
      <c r="J87" s="20"/>
      <c r="M87" s="33" t="s">
        <v>992</v>
      </c>
      <c r="N87" s="6" t="str">
        <f t="shared" si="3"/>
        <v>Specimen module-Container component sequence</v>
      </c>
      <c r="O87" s="33" t="s">
        <v>992</v>
      </c>
      <c r="P87" t="str">
        <f t="shared" si="9"/>
        <v/>
      </c>
      <c r="Q87" s="33" t="s">
        <v>992</v>
      </c>
      <c r="R87" s="11" t="str">
        <f t="shared" si="5"/>
        <v>-</v>
      </c>
      <c r="S87" s="33" t="s">
        <v>992</v>
      </c>
      <c r="V87" s="6" t="str">
        <f>_xlfn.IFNA(VLOOKUP($U87, XtEHR!A:F,2,FALSE)&amp;"."&amp;TRIM(VLOOKUP($U87, XtEHR!A:F,3,FALSE)),"-")</f>
        <v>-</v>
      </c>
      <c r="AA87" t="str">
        <f>IF(LEN(Z87)&gt;0,_xlfn.XLOOKUP(Z87,FHIR!A:A,FHIR!E:E),"")</f>
        <v/>
      </c>
    </row>
    <row r="88" spans="4:31" ht="18.75" thickTop="1" thickBot="1" x14ac:dyDescent="0.35">
      <c r="D88" s="20" t="s">
        <v>440</v>
      </c>
      <c r="E88" s="20" t="s">
        <v>447</v>
      </c>
      <c r="F88" s="20"/>
      <c r="G88" s="20"/>
      <c r="H88" s="20"/>
      <c r="I88" s="20"/>
      <c r="J88" s="20">
        <v>1</v>
      </c>
      <c r="M88" s="33" t="s">
        <v>992</v>
      </c>
      <c r="N88" s="6" t="str">
        <f t="shared" si="3"/>
        <v>Specimen module-Specimen description sequence</v>
      </c>
      <c r="O88" s="33" t="s">
        <v>992</v>
      </c>
      <c r="P88" t="str">
        <f t="shared" si="9"/>
        <v/>
      </c>
      <c r="Q88" s="33" t="s">
        <v>992</v>
      </c>
      <c r="R88" s="11" t="str">
        <f t="shared" si="5"/>
        <v>-</v>
      </c>
      <c r="S88" s="33" t="s">
        <v>992</v>
      </c>
      <c r="V88" s="6" t="str">
        <f>_xlfn.IFNA(VLOOKUP($U88, XtEHR!A:F,2,FALSE)&amp;"."&amp;TRIM(VLOOKUP($U88, XtEHR!A:F,3,FALSE)),"-")</f>
        <v>-</v>
      </c>
      <c r="AA88" t="str">
        <f>IF(LEN(Z88)&gt;0,_xlfn.XLOOKUP(Z88,FHIR!A:A,FHIR!E:E),"")</f>
        <v/>
      </c>
    </row>
    <row r="89" spans="4:31" ht="18.75" thickTop="1" thickBot="1" x14ac:dyDescent="0.35">
      <c r="D89" s="20" t="s">
        <v>440</v>
      </c>
      <c r="E89" s="20" t="s">
        <v>447</v>
      </c>
      <c r="F89" s="20" t="s">
        <v>448</v>
      </c>
      <c r="G89" s="20"/>
      <c r="H89" s="20"/>
      <c r="I89" s="20"/>
      <c r="J89" s="20">
        <v>3</v>
      </c>
      <c r="M89" s="33" t="s">
        <v>992</v>
      </c>
      <c r="N89" s="6" t="str">
        <f t="shared" si="3"/>
        <v>Specimen module-Specimen description sequence-Primary Anatomical structure sequence</v>
      </c>
      <c r="O89" s="33" t="s">
        <v>992</v>
      </c>
      <c r="P89" t="str">
        <f t="shared" si="9"/>
        <v>Specimen.collection.bodySite</v>
      </c>
      <c r="Q89" s="33" t="s">
        <v>992</v>
      </c>
      <c r="R89" s="11" t="str">
        <f t="shared" si="5"/>
        <v>-</v>
      </c>
      <c r="S89" s="33" t="s">
        <v>992</v>
      </c>
      <c r="V89" s="6" t="str">
        <f>_xlfn.IFNA(VLOOKUP($U89, XtEHR!A:F,2,FALSE)&amp;"."&amp;TRIM(VLOOKUP($U89, XtEHR!A:F,3,FALSE)),"-")</f>
        <v>-</v>
      </c>
      <c r="Z89" t="s">
        <v>745</v>
      </c>
      <c r="AA89" t="str">
        <f>IF(LEN(Z89)&gt;0,_xlfn.XLOOKUP(Z89,FHIR!A:A,FHIR!E:E),"")</f>
        <v>Specimen.collection.bodySite</v>
      </c>
    </row>
    <row r="90" spans="4:31" ht="18.75" thickTop="1" thickBot="1" x14ac:dyDescent="0.35">
      <c r="D90" s="20" t="s">
        <v>440</v>
      </c>
      <c r="E90" s="20" t="s">
        <v>447</v>
      </c>
      <c r="F90" s="20" t="s">
        <v>449</v>
      </c>
      <c r="G90" s="20"/>
      <c r="H90" s="20"/>
      <c r="I90" s="20"/>
      <c r="J90" s="20">
        <v>1</v>
      </c>
      <c r="M90" s="33" t="s">
        <v>992</v>
      </c>
      <c r="N90" s="6" t="str">
        <f t="shared" si="3"/>
        <v>Specimen module-Specimen description sequence-Specimen identifier</v>
      </c>
      <c r="O90" s="33" t="s">
        <v>992</v>
      </c>
      <c r="P90" t="str">
        <f t="shared" si="9"/>
        <v>Specimen.identifier</v>
      </c>
      <c r="Q90" s="33" t="s">
        <v>992</v>
      </c>
      <c r="R90" s="11" t="str">
        <f t="shared" si="5"/>
        <v>EHDSSpecimen.identifier</v>
      </c>
      <c r="S90" s="33" t="s">
        <v>992</v>
      </c>
      <c r="U90" t="s">
        <v>622</v>
      </c>
      <c r="V90" s="6" t="str">
        <f>_xlfn.IFNA(VLOOKUP($U90, XtEHR!A:F,2,FALSE)&amp;"."&amp;TRIM(VLOOKUP($U90, XtEHR!A:F,3,FALSE)),"-")</f>
        <v>EHDSSpecimen.identifier</v>
      </c>
      <c r="Z90" t="str">
        <f>_xlfn.XLOOKUP(U90,FHIR!M:M,FHIR!A:A)</f>
        <v>Specimen1</v>
      </c>
      <c r="AA90" t="str">
        <f>IF(LEN(Z90)&gt;0,_xlfn.XLOOKUP(Z90,FHIR!A:A,FHIR!E:E),"")</f>
        <v>Specimen.identifier</v>
      </c>
    </row>
    <row r="91" spans="4:31" ht="18.75" thickTop="1" thickBot="1" x14ac:dyDescent="0.35">
      <c r="D91" s="20" t="s">
        <v>440</v>
      </c>
      <c r="E91" s="20" t="s">
        <v>447</v>
      </c>
      <c r="F91" s="20" t="s">
        <v>450</v>
      </c>
      <c r="G91" s="20"/>
      <c r="H91" s="20"/>
      <c r="I91" s="20"/>
      <c r="J91" s="20">
        <v>1</v>
      </c>
      <c r="M91" s="33" t="s">
        <v>992</v>
      </c>
      <c r="N91" s="6" t="str">
        <f t="shared" si="3"/>
        <v>Specimen module-Specimen description sequence-Specimen UID</v>
      </c>
      <c r="O91" s="33" t="s">
        <v>992</v>
      </c>
      <c r="P91" t="str">
        <f t="shared" si="9"/>
        <v>Specimen.identifier</v>
      </c>
      <c r="Q91" s="33" t="s">
        <v>992</v>
      </c>
      <c r="R91" s="11" t="str">
        <f t="shared" si="5"/>
        <v>EHDSSpecimen.identifier</v>
      </c>
      <c r="S91" s="33" t="s">
        <v>992</v>
      </c>
      <c r="U91" t="s">
        <v>622</v>
      </c>
      <c r="V91" s="6" t="str">
        <f>_xlfn.IFNA(VLOOKUP($U91, XtEHR!A:F,2,FALSE)&amp;"."&amp;TRIM(VLOOKUP($U91, XtEHR!A:F,3,FALSE)),"-")</f>
        <v>EHDSSpecimen.identifier</v>
      </c>
      <c r="Y91" s="20"/>
      <c r="Z91" t="str">
        <f>_xlfn.XLOOKUP(U91,FHIR!M:M,FHIR!A:A)</f>
        <v>Specimen1</v>
      </c>
      <c r="AA91" t="str">
        <f>IF(LEN(Z91)&gt;0,_xlfn.XLOOKUP(Z91,FHIR!A:A,FHIR!E:E),"")</f>
        <v>Specimen.identifier</v>
      </c>
    </row>
    <row r="92" spans="4:31" ht="18.75" thickTop="1" thickBot="1" x14ac:dyDescent="0.35">
      <c r="D92" s="20" t="s">
        <v>440</v>
      </c>
      <c r="E92" s="20" t="s">
        <v>447</v>
      </c>
      <c r="F92" s="20" t="s">
        <v>454</v>
      </c>
      <c r="G92" s="20"/>
      <c r="H92" s="20"/>
      <c r="I92" s="20"/>
      <c r="J92" s="20">
        <v>2</v>
      </c>
      <c r="M92" s="33" t="s">
        <v>992</v>
      </c>
      <c r="N92" s="6" t="str">
        <f t="shared" si="3"/>
        <v>Specimen module-Specimen description sequence-Issuer of the specimen identifier sequence</v>
      </c>
      <c r="O92" s="33" t="s">
        <v>992</v>
      </c>
      <c r="P92" t="str">
        <f t="shared" si="9"/>
        <v>Specimen.identifier</v>
      </c>
      <c r="Q92" s="33" t="s">
        <v>992</v>
      </c>
      <c r="R92" s="11" t="str">
        <f t="shared" si="5"/>
        <v>EHDSSpecimen.identifier</v>
      </c>
      <c r="S92" s="33" t="s">
        <v>992</v>
      </c>
      <c r="U92" t="s">
        <v>622</v>
      </c>
      <c r="V92" s="6" t="str">
        <f>_xlfn.IFNA(VLOOKUP($U92, XtEHR!A:F,2,FALSE)&amp;"."&amp;TRIM(VLOOKUP($U92, XtEHR!A:F,3,FALSE)),"-")</f>
        <v>EHDSSpecimen.identifier</v>
      </c>
      <c r="Z92" t="str">
        <f>_xlfn.XLOOKUP(U92,FHIR!M:M,FHIR!A:A)</f>
        <v>Specimen1</v>
      </c>
      <c r="AA92" t="str">
        <f>IF(LEN(Z92)&gt;0,_xlfn.XLOOKUP(Z92,FHIR!A:A,FHIR!E:E),"")</f>
        <v>Specimen.identifier</v>
      </c>
    </row>
    <row r="93" spans="4:31" ht="18.75" thickTop="1" thickBot="1" x14ac:dyDescent="0.35">
      <c r="D93" s="20" t="s">
        <v>440</v>
      </c>
      <c r="E93" s="20" t="s">
        <v>447</v>
      </c>
      <c r="F93" s="20" t="s">
        <v>451</v>
      </c>
      <c r="G93" s="20"/>
      <c r="H93" s="20"/>
      <c r="I93" s="20"/>
      <c r="J93" s="20">
        <v>3</v>
      </c>
      <c r="M93" s="33" t="s">
        <v>992</v>
      </c>
      <c r="N93" s="6" t="str">
        <f t="shared" si="3"/>
        <v>Specimen module-Specimen description sequence-Specimen Type Code Sequence</v>
      </c>
      <c r="O93" s="33" t="s">
        <v>992</v>
      </c>
      <c r="P93" t="str">
        <f t="shared" si="9"/>
        <v>Specimen.type</v>
      </c>
      <c r="Q93" s="33" t="s">
        <v>992</v>
      </c>
      <c r="R93" s="11" t="str">
        <f t="shared" si="5"/>
        <v>EHDSSpecimen.type</v>
      </c>
      <c r="S93" s="33" t="s">
        <v>992</v>
      </c>
      <c r="U93" t="s">
        <v>624</v>
      </c>
      <c r="V93" s="6" t="str">
        <f>_xlfn.IFNA(VLOOKUP($U93, XtEHR!A:F,2,FALSE)&amp;"."&amp;TRIM(VLOOKUP($U93, XtEHR!A:F,3,FALSE)),"-")</f>
        <v>EHDSSpecimen.type</v>
      </c>
      <c r="Z93" t="str">
        <f>_xlfn.XLOOKUP(U93,FHIR!M:M,FHIR!A:A)</f>
        <v>Specimen3</v>
      </c>
      <c r="AA93" t="str">
        <f>IF(LEN(Z93)&gt;0,_xlfn.XLOOKUP(Z93,FHIR!A:A,FHIR!E:E),"")</f>
        <v>Specimen.type</v>
      </c>
    </row>
    <row r="94" spans="4:31" ht="18.75" thickTop="1" thickBot="1" x14ac:dyDescent="0.35">
      <c r="D94" s="20" t="s">
        <v>440</v>
      </c>
      <c r="E94" s="20" t="s">
        <v>447</v>
      </c>
      <c r="F94" s="20" t="s">
        <v>452</v>
      </c>
      <c r="G94" s="20"/>
      <c r="H94" s="20"/>
      <c r="I94" s="20"/>
      <c r="J94" s="20">
        <v>3</v>
      </c>
      <c r="M94" s="33" t="s">
        <v>992</v>
      </c>
      <c r="N94" s="6" t="str">
        <f t="shared" si="3"/>
        <v>Specimen module-Specimen description sequence-Speciment short description</v>
      </c>
      <c r="O94" s="33" t="s">
        <v>992</v>
      </c>
      <c r="P94" t="str">
        <f t="shared" si="9"/>
        <v>Specimen.note</v>
      </c>
      <c r="Q94" s="33" t="s">
        <v>992</v>
      </c>
      <c r="R94" s="11" t="str">
        <f t="shared" si="5"/>
        <v>EHDSSpecimen.note</v>
      </c>
      <c r="S94" s="33" t="s">
        <v>992</v>
      </c>
      <c r="U94" t="s">
        <v>647</v>
      </c>
      <c r="V94" s="6" t="str">
        <f>_xlfn.IFNA(VLOOKUP($U94, XtEHR!A:F,2,FALSE)&amp;"."&amp;TRIM(VLOOKUP($U94, XtEHR!A:F,3,FALSE)),"-")</f>
        <v>EHDSSpecimen.note</v>
      </c>
      <c r="Z94" t="str">
        <f>_xlfn.XLOOKUP(U94,FHIR!M:M,FHIR!A:A)</f>
        <v>Specimen26</v>
      </c>
      <c r="AA94" t="str">
        <f>IF(LEN(Z94)&gt;0,_xlfn.XLOOKUP(Z94,FHIR!A:A,FHIR!E:E),"")</f>
        <v>Specimen.note</v>
      </c>
    </row>
    <row r="95" spans="4:31" ht="18.75" thickTop="1" thickBot="1" x14ac:dyDescent="0.35">
      <c r="D95" s="20" t="s">
        <v>440</v>
      </c>
      <c r="E95" s="20" t="s">
        <v>447</v>
      </c>
      <c r="F95" s="20" t="s">
        <v>453</v>
      </c>
      <c r="G95" s="20"/>
      <c r="H95" s="20"/>
      <c r="I95" s="20"/>
      <c r="J95" s="20">
        <v>3</v>
      </c>
      <c r="M95" s="33" t="s">
        <v>992</v>
      </c>
      <c r="N95" s="6" t="str">
        <f t="shared" si="3"/>
        <v>Specimen module-Specimen description sequence-Speciment detailed description</v>
      </c>
      <c r="O95" s="33" t="s">
        <v>992</v>
      </c>
      <c r="P95" t="str">
        <f t="shared" si="9"/>
        <v>Specimen.note</v>
      </c>
      <c r="Q95" s="33" t="s">
        <v>992</v>
      </c>
      <c r="R95" s="11" t="str">
        <f t="shared" si="5"/>
        <v>EHDSSpecimen.note</v>
      </c>
      <c r="S95" s="33" t="s">
        <v>992</v>
      </c>
      <c r="U95" t="s">
        <v>647</v>
      </c>
      <c r="V95" s="6" t="str">
        <f>_xlfn.IFNA(VLOOKUP($U95, XtEHR!A:F,2,FALSE)&amp;"."&amp;TRIM(VLOOKUP($U95, XtEHR!A:F,3,FALSE)),"-")</f>
        <v>EHDSSpecimen.note</v>
      </c>
      <c r="Z95" t="str">
        <f>_xlfn.XLOOKUP(U95,FHIR!M:M,FHIR!A:A)</f>
        <v>Specimen26</v>
      </c>
      <c r="AA95" t="str">
        <f>IF(LEN(Z95)&gt;0,_xlfn.XLOOKUP(Z95,FHIR!A:A,FHIR!E:E),"")</f>
        <v>Specimen.note</v>
      </c>
    </row>
    <row r="96" spans="4:31" ht="18.75" thickTop="1" thickBot="1" x14ac:dyDescent="0.35">
      <c r="D96" s="20" t="s">
        <v>440</v>
      </c>
      <c r="E96" s="20" t="s">
        <v>447</v>
      </c>
      <c r="F96" s="20" t="s">
        <v>456</v>
      </c>
      <c r="G96" s="20"/>
      <c r="H96" s="20"/>
      <c r="I96" s="20"/>
      <c r="J96" s="20">
        <v>2</v>
      </c>
      <c r="M96" s="33" t="s">
        <v>992</v>
      </c>
      <c r="N96" s="6" t="str">
        <f t="shared" si="3"/>
        <v>Specimen module-Specimen description sequence-Specimen Preparation Sequence</v>
      </c>
      <c r="O96" s="33" t="s">
        <v>992</v>
      </c>
      <c r="P96" t="str">
        <f t="shared" si="9"/>
        <v>Specimen.collection.method</v>
      </c>
      <c r="Q96" s="33" t="s">
        <v>992</v>
      </c>
      <c r="R96" s="11" t="str">
        <f t="shared" si="5"/>
        <v>EHDSSpecimen.collection.method</v>
      </c>
      <c r="S96" s="33" t="s">
        <v>992</v>
      </c>
      <c r="U96" t="s">
        <v>639</v>
      </c>
      <c r="V96" s="6" t="str">
        <f>_xlfn.IFNA(VLOOKUP($U96, XtEHR!A:F,2,FALSE)&amp;"."&amp;TRIM(VLOOKUP($U96, XtEHR!A:F,3,FALSE)),"-")</f>
        <v>EHDSSpecimen.collection.method</v>
      </c>
      <c r="Z96" t="str">
        <f>_xlfn.XLOOKUP(U96,FHIR!M:M,FHIR!A:A)</f>
        <v>Specimen18</v>
      </c>
      <c r="AA96" t="str">
        <f>IF(LEN(Z96)&gt;0,_xlfn.XLOOKUP(Z96,FHIR!A:A,FHIR!E:E),"")</f>
        <v>Specimen.collection.method</v>
      </c>
    </row>
    <row r="97" spans="4:27" ht="18.75" thickTop="1" thickBot="1" x14ac:dyDescent="0.35">
      <c r="D97" s="20" t="s">
        <v>440</v>
      </c>
      <c r="E97" s="20" t="s">
        <v>447</v>
      </c>
      <c r="F97" s="20" t="s">
        <v>455</v>
      </c>
      <c r="G97" s="20"/>
      <c r="H97" s="20"/>
      <c r="I97" s="20"/>
      <c r="J97" s="20" t="s">
        <v>389</v>
      </c>
      <c r="M97" s="33" t="s">
        <v>992</v>
      </c>
      <c r="N97" s="6" t="str">
        <f t="shared" si="3"/>
        <v>Specimen module-Specimen description sequence-Specimen Localization Content Item Sequence</v>
      </c>
      <c r="O97" s="33" t="s">
        <v>992</v>
      </c>
      <c r="P97" t="str">
        <f t="shared" si="9"/>
        <v/>
      </c>
      <c r="Q97" s="33" t="s">
        <v>992</v>
      </c>
      <c r="R97" s="11" t="str">
        <f t="shared" si="5"/>
        <v>-</v>
      </c>
      <c r="S97" s="33" t="s">
        <v>992</v>
      </c>
      <c r="V97" s="6" t="str">
        <f>_xlfn.IFNA(VLOOKUP($U97, XtEHR!A:F,2,FALSE)&amp;"."&amp;TRIM(VLOOKUP($U97, XtEHR!A:F,3,FALSE)),"-")</f>
        <v>-</v>
      </c>
      <c r="AA97" t="str">
        <f>IF(LEN(Z97)&gt;0,_xlfn.XLOOKUP(Z97,FHIR!A:A,FHIR!E:E),"")</f>
        <v/>
      </c>
    </row>
    <row r="98" spans="4:27" ht="18.75" thickTop="1" thickBot="1" x14ac:dyDescent="0.35">
      <c r="M98" s="33"/>
      <c r="N98" s="6"/>
      <c r="O98" s="33"/>
      <c r="Q98" s="33"/>
      <c r="R98" s="11"/>
      <c r="S98" s="33"/>
      <c r="V98" s="6" t="str">
        <f>_xlfn.IFNA(VLOOKUP($U98, XtEHR!A:F,2,FALSE)&amp;"."&amp;TRIM(VLOOKUP($U98, XtEHR!A:F,3,FALSE)),"-")</f>
        <v>-</v>
      </c>
      <c r="AA98" t="str">
        <f>IF(LEN(Z98)&gt;0,_xlfn.XLOOKUP(Z98,FHIR!A:A,FHIR!E:E),"")</f>
        <v/>
      </c>
    </row>
    <row r="99" spans="4:27" ht="18.75" thickTop="1" thickBot="1" x14ac:dyDescent="0.35">
      <c r="M99" s="33"/>
      <c r="N99" s="6"/>
      <c r="O99" s="33"/>
      <c r="Q99" s="33"/>
      <c r="R99" s="11"/>
      <c r="S99" s="33"/>
      <c r="V99" s="6" t="str">
        <f>_xlfn.IFNA(VLOOKUP($U99, XtEHR!A:F,2,FALSE)&amp;"."&amp;TRIM(VLOOKUP($U99, XtEHR!A:F,3,FALSE)),"-")</f>
        <v>-</v>
      </c>
      <c r="AA99" t="str">
        <f>IF(LEN(Z99)&gt;0,_xlfn.XLOOKUP(Z99,FHIR!A:A,FHIR!E:E),"")</f>
        <v/>
      </c>
    </row>
    <row r="100" spans="4:27" ht="18.75" thickTop="1" thickBot="1" x14ac:dyDescent="0.35">
      <c r="M100" s="33"/>
      <c r="N100" s="6"/>
      <c r="O100" s="33"/>
      <c r="Q100" s="33"/>
      <c r="R100" s="11"/>
      <c r="S100" s="33"/>
      <c r="V100" s="6" t="str">
        <f>_xlfn.IFNA(VLOOKUP($U100, XtEHR!A:F,2,FALSE)&amp;"."&amp;TRIM(VLOOKUP($U100, XtEHR!A:F,3,FALSE)),"-")</f>
        <v>-</v>
      </c>
      <c r="AA100" t="str">
        <f>IF(LEN(Z100)&gt;0,_xlfn.XLOOKUP(Z100,FHIR!A:A,FHIR!E:E),"")</f>
        <v/>
      </c>
    </row>
    <row r="101" spans="4:27" ht="18.75" thickTop="1" thickBot="1" x14ac:dyDescent="0.35">
      <c r="M101" s="33"/>
      <c r="N101" s="6"/>
      <c r="O101" s="33"/>
      <c r="Q101" s="33"/>
      <c r="R101" s="11"/>
      <c r="S101" s="33"/>
      <c r="V101" s="6" t="str">
        <f>_xlfn.IFNA(VLOOKUP($U101, XtEHR!A:F,2,FALSE)&amp;"."&amp;TRIM(VLOOKUP($U101, XtEHR!A:F,3,FALSE)),"-")</f>
        <v>-</v>
      </c>
      <c r="AA101" t="str">
        <f>IF(LEN(Z101)&gt;0,_xlfn.XLOOKUP(Z101,FHIR!A:A,FHIR!E:E),"")</f>
        <v/>
      </c>
    </row>
    <row r="102" spans="4:27" ht="18.75" thickTop="1" thickBot="1" x14ac:dyDescent="0.35">
      <c r="M102" s="33"/>
      <c r="N102" s="6"/>
      <c r="O102" s="33"/>
      <c r="Q102" s="33"/>
      <c r="R102" s="11"/>
      <c r="S102" s="33"/>
      <c r="V102" s="6" t="str">
        <f>_xlfn.IFNA(VLOOKUP($U102, XtEHR!A:F,2,FALSE)&amp;"."&amp;TRIM(VLOOKUP($U102, XtEHR!A:F,3,FALSE)),"-")</f>
        <v>-</v>
      </c>
      <c r="AA102" t="str">
        <f>IF(LEN(Z102)&gt;0,_xlfn.XLOOKUP(Z102,FHIR!A:A,FHIR!E:E),"")</f>
        <v/>
      </c>
    </row>
    <row r="103" spans="4:27" ht="18.75" thickTop="1" thickBot="1" x14ac:dyDescent="0.35">
      <c r="M103" s="33"/>
      <c r="N103" s="6"/>
      <c r="O103" s="33"/>
      <c r="Q103" s="33"/>
      <c r="R103" s="11"/>
      <c r="S103" s="33"/>
      <c r="V103" s="6" t="str">
        <f>_xlfn.IFNA(VLOOKUP($U103, XtEHR!A:F,2,FALSE)&amp;"."&amp;TRIM(VLOOKUP($U103, XtEHR!A:F,3,FALSE)),"-")</f>
        <v>-</v>
      </c>
      <c r="AA103" t="str">
        <f>IF(LEN(Z103)&gt;0,_xlfn.XLOOKUP(Z103,FHIR!A:A,FHIR!E:E),"")</f>
        <v/>
      </c>
    </row>
    <row r="104" spans="4:27" ht="18.75" thickTop="1" thickBot="1" x14ac:dyDescent="0.35">
      <c r="M104" s="33"/>
      <c r="N104" s="6"/>
      <c r="O104" s="33"/>
      <c r="Q104" s="33"/>
      <c r="R104" s="11"/>
      <c r="S104" s="33"/>
      <c r="V104" s="6" t="str">
        <f>_xlfn.IFNA(VLOOKUP($U104, XtEHR!A:F,2,FALSE)&amp;"."&amp;TRIM(VLOOKUP($U104, XtEHR!A:F,3,FALSE)),"-")</f>
        <v>-</v>
      </c>
      <c r="AA104" t="str">
        <f>IF(LEN(Z104)&gt;0,_xlfn.XLOOKUP(Z104,FHIR!A:A,FHIR!E:E),"")</f>
        <v/>
      </c>
    </row>
    <row r="105" spans="4:27" ht="18.75" thickTop="1" thickBot="1" x14ac:dyDescent="0.35">
      <c r="M105" s="33"/>
      <c r="N105" s="6"/>
      <c r="O105" s="33"/>
      <c r="Q105" s="33"/>
      <c r="R105" s="11"/>
      <c r="S105" s="33"/>
      <c r="V105" s="6" t="str">
        <f>_xlfn.IFNA(VLOOKUP($U105, XtEHR!A:F,2,FALSE)&amp;"."&amp;TRIM(VLOOKUP($U105, XtEHR!A:F,3,FALSE)),"-")</f>
        <v>-</v>
      </c>
      <c r="AA105" t="str">
        <f>IF(LEN(Z105)&gt;0,_xlfn.XLOOKUP(Z105,FHIR!A:A,FHIR!E:E),"")</f>
        <v/>
      </c>
    </row>
    <row r="106" spans="4:27" ht="18.75" thickTop="1" thickBot="1" x14ac:dyDescent="0.35">
      <c r="M106" s="33"/>
      <c r="N106" s="6"/>
      <c r="O106" s="33"/>
      <c r="Q106" s="33"/>
      <c r="R106" s="11"/>
      <c r="S106" s="33"/>
      <c r="V106" s="6" t="str">
        <f>_xlfn.IFNA(VLOOKUP($U106, XtEHR!A:F,2,FALSE)&amp;"."&amp;TRIM(VLOOKUP($U106, XtEHR!A:F,3,FALSE)),"-")</f>
        <v>-</v>
      </c>
      <c r="AA106" t="str">
        <f>IF(LEN(Z106)&gt;0,_xlfn.XLOOKUP(Z106,FHIR!A:A,FHIR!E:E),"")</f>
        <v/>
      </c>
    </row>
    <row r="107" spans="4:27" ht="18.75" thickTop="1" thickBot="1" x14ac:dyDescent="0.35">
      <c r="M107" s="33"/>
      <c r="N107" s="6"/>
      <c r="O107" s="33"/>
      <c r="Q107" s="33"/>
      <c r="R107" s="11"/>
      <c r="S107" s="33"/>
      <c r="V107" s="6" t="str">
        <f>_xlfn.IFNA(VLOOKUP($U107, XtEHR!A:F,2,FALSE)&amp;"."&amp;TRIM(VLOOKUP($U107, XtEHR!A:F,3,FALSE)),"-")</f>
        <v>-</v>
      </c>
      <c r="AA107" t="str">
        <f>IF(LEN(Z107)&gt;0,_xlfn.XLOOKUP(Z107,FHIR!A:A,FHIR!E:E),"")</f>
        <v/>
      </c>
    </row>
    <row r="108" spans="4:27" ht="18.75" thickTop="1" thickBot="1" x14ac:dyDescent="0.35">
      <c r="M108" s="33"/>
      <c r="N108" s="6"/>
      <c r="O108" s="33"/>
      <c r="Q108" s="33"/>
      <c r="R108" s="11"/>
      <c r="S108" s="33"/>
      <c r="V108" s="6" t="str">
        <f>_xlfn.IFNA(VLOOKUP($U108, XtEHR!A:F,2,FALSE)&amp;"."&amp;TRIM(VLOOKUP($U108, XtEHR!A:F,3,FALSE)),"-")</f>
        <v>-</v>
      </c>
      <c r="AA108" t="str">
        <f>IF(LEN(Z108)&gt;0,_xlfn.XLOOKUP(Z108,FHIR!A:A,FHIR!E:E),"")</f>
        <v/>
      </c>
    </row>
    <row r="109" spans="4:27" ht="18.75" thickTop="1" thickBot="1" x14ac:dyDescent="0.35">
      <c r="M109" s="33"/>
      <c r="N109" s="6"/>
      <c r="O109" s="33"/>
      <c r="Q109" s="33"/>
      <c r="R109" s="11"/>
      <c r="S109" s="33"/>
      <c r="V109" s="6" t="str">
        <f>_xlfn.IFNA(VLOOKUP($U109, XtEHR!A:F,2,FALSE)&amp;"."&amp;TRIM(VLOOKUP($U109, XtEHR!A:F,3,FALSE)),"-")</f>
        <v>-</v>
      </c>
      <c r="AA109" t="str">
        <f>IF(LEN(Z109)&gt;0,_xlfn.XLOOKUP(Z109,FHIR!A:A,FHIR!E:E),"")</f>
        <v/>
      </c>
    </row>
    <row r="110" spans="4:27" ht="18.75" thickTop="1" thickBot="1" x14ac:dyDescent="0.35">
      <c r="M110" s="33"/>
      <c r="N110" s="6"/>
      <c r="O110" s="33"/>
      <c r="Q110" s="33"/>
      <c r="R110" s="11"/>
      <c r="S110" s="33"/>
      <c r="V110" s="6" t="str">
        <f>_xlfn.IFNA(VLOOKUP($U110, XtEHR!A:F,2,FALSE)&amp;"."&amp;TRIM(VLOOKUP($U110, XtEHR!A:F,3,FALSE)),"-")</f>
        <v>-</v>
      </c>
      <c r="AA110" t="str">
        <f>IF(LEN(Z110)&gt;0,_xlfn.XLOOKUP(Z110,FHIR!A:A,FHIR!E:E),"")</f>
        <v/>
      </c>
    </row>
    <row r="111" spans="4:27" ht="18.75" thickTop="1" thickBot="1" x14ac:dyDescent="0.35">
      <c r="M111" s="33"/>
      <c r="N111" s="6"/>
      <c r="O111" s="33"/>
      <c r="Q111" s="33"/>
      <c r="R111" s="11"/>
      <c r="S111" s="33"/>
      <c r="V111" s="6" t="str">
        <f>_xlfn.IFNA(VLOOKUP($U111, XtEHR!A:F,2,FALSE)&amp;"."&amp;TRIM(VLOOKUP($U111, XtEHR!A:F,3,FALSE)),"-")</f>
        <v>-</v>
      </c>
      <c r="AA111" t="str">
        <f>IF(LEN(Z111)&gt;0,_xlfn.XLOOKUP(Z111,FHIR!A:A,FHIR!E:E),"")</f>
        <v/>
      </c>
    </row>
    <row r="112" spans="4:27" ht="18.75" thickTop="1" thickBot="1" x14ac:dyDescent="0.35">
      <c r="M112" s="33"/>
      <c r="N112" s="6"/>
      <c r="O112" s="33"/>
      <c r="Q112" s="33"/>
      <c r="R112" s="11"/>
      <c r="S112" s="33"/>
      <c r="V112" s="6" t="str">
        <f>_xlfn.IFNA(VLOOKUP($U112, XtEHR!A:F,2,FALSE)&amp;"."&amp;TRIM(VLOOKUP($U112, XtEHR!A:F,3,FALSE)),"-")</f>
        <v>-</v>
      </c>
      <c r="AA112" t="str">
        <f>IF(LEN(Z112)&gt;0,_xlfn.XLOOKUP(Z112,FHIR!A:A,FHIR!E:E),"")</f>
        <v/>
      </c>
    </row>
    <row r="113" spans="13:27" ht="18.75" thickTop="1" thickBot="1" x14ac:dyDescent="0.35">
      <c r="M113" s="33"/>
      <c r="N113" s="6"/>
      <c r="O113" s="33"/>
      <c r="Q113" s="33"/>
      <c r="R113" s="11"/>
      <c r="S113" s="33"/>
      <c r="V113" s="6" t="str">
        <f>_xlfn.IFNA(VLOOKUP($U113, XtEHR!A:F,2,FALSE)&amp;"."&amp;TRIM(VLOOKUP($U113, XtEHR!A:F,3,FALSE)),"-")</f>
        <v>-</v>
      </c>
      <c r="AA113" t="str">
        <f>IF(LEN(Z113)&gt;0,_xlfn.XLOOKUP(Z113,FHIR!A:A,FHIR!E:E),"")</f>
        <v/>
      </c>
    </row>
    <row r="114" spans="13:27" ht="18.75" thickTop="1" thickBot="1" x14ac:dyDescent="0.35">
      <c r="M114" s="33"/>
      <c r="N114" s="6"/>
      <c r="O114" s="33"/>
      <c r="Q114" s="33"/>
      <c r="R114" s="11"/>
      <c r="S114" s="33"/>
      <c r="V114" s="6" t="str">
        <f>_xlfn.IFNA(VLOOKUP($U114, XtEHR!A:F,2,FALSE)&amp;"."&amp;TRIM(VLOOKUP($U114, XtEHR!A:F,3,FALSE)),"-")</f>
        <v>-</v>
      </c>
      <c r="AA114" t="str">
        <f>IF(LEN(Z114)&gt;0,_xlfn.XLOOKUP(Z114,FHIR!A:A,FHIR!E:E),"")</f>
        <v/>
      </c>
    </row>
    <row r="115" spans="13:27" ht="18.75" thickTop="1" thickBot="1" x14ac:dyDescent="0.35">
      <c r="M115" s="33"/>
      <c r="N115" s="6"/>
      <c r="O115" s="33"/>
      <c r="Q115" s="33"/>
      <c r="R115" s="11"/>
      <c r="S115" s="33"/>
      <c r="V115" s="6" t="str">
        <f>_xlfn.IFNA(VLOOKUP($U115, XtEHR!A:F,2,FALSE)&amp;"."&amp;TRIM(VLOOKUP($U115, XtEHR!A:F,3,FALSE)),"-")</f>
        <v>-</v>
      </c>
      <c r="AA115" t="str">
        <f>IF(LEN(Z115)&gt;0,_xlfn.XLOOKUP(Z115,FHIR!A:A,FHIR!E:E),"")</f>
        <v/>
      </c>
    </row>
    <row r="116" spans="13:27" ht="18.75" thickTop="1" thickBot="1" x14ac:dyDescent="0.35">
      <c r="M116" s="33"/>
      <c r="N116" s="6"/>
      <c r="O116" s="33"/>
      <c r="Q116" s="33"/>
      <c r="R116" s="11"/>
      <c r="S116" s="33"/>
      <c r="V116" s="6" t="str">
        <f>_xlfn.IFNA(VLOOKUP($U116, XtEHR!A:F,2,FALSE)&amp;"."&amp;TRIM(VLOOKUP($U116, XtEHR!A:F,3,FALSE)),"-")</f>
        <v>-</v>
      </c>
      <c r="AA116" t="str">
        <f>IF(LEN(Z116)&gt;0,_xlfn.XLOOKUP(Z116,FHIR!A:A,FHIR!E:E),"")</f>
        <v/>
      </c>
    </row>
    <row r="117" spans="13:27" ht="18.75" thickTop="1" thickBot="1" x14ac:dyDescent="0.35">
      <c r="M117" s="33"/>
      <c r="N117" s="6"/>
      <c r="O117" s="33"/>
      <c r="Q117" s="33"/>
      <c r="R117" s="11"/>
      <c r="S117" s="33"/>
      <c r="V117" s="6" t="str">
        <f>_xlfn.IFNA(VLOOKUP($U117, XtEHR!A:F,2,FALSE)&amp;"."&amp;TRIM(VLOOKUP($U117, XtEHR!A:F,3,FALSE)),"-")</f>
        <v>-</v>
      </c>
      <c r="AA117" t="str">
        <f>IF(LEN(Z117)&gt;0,_xlfn.XLOOKUP(Z117,FHIR!A:A,FHIR!E:E),"")</f>
        <v/>
      </c>
    </row>
    <row r="118" spans="13:27" ht="18.75" thickTop="1" thickBot="1" x14ac:dyDescent="0.35">
      <c r="M118" s="33"/>
      <c r="N118" s="6"/>
      <c r="O118" s="33"/>
      <c r="Q118" s="33"/>
      <c r="R118" s="11"/>
      <c r="S118" s="33"/>
      <c r="V118" s="6" t="str">
        <f>_xlfn.IFNA(VLOOKUP($U118, XtEHR!A:F,2,FALSE)&amp;"."&amp;TRIM(VLOOKUP($U118, XtEHR!A:F,3,FALSE)),"-")</f>
        <v>-</v>
      </c>
      <c r="AA118" t="str">
        <f>IF(LEN(Z118)&gt;0,_xlfn.XLOOKUP(Z118,FHIR!A:A,FHIR!E:E),"")</f>
        <v/>
      </c>
    </row>
    <row r="119" spans="13:27" ht="18.75" thickTop="1" thickBot="1" x14ac:dyDescent="0.35">
      <c r="M119" s="33"/>
      <c r="N119" s="6"/>
      <c r="O119" s="33"/>
      <c r="Q119" s="33"/>
      <c r="R119" s="11"/>
      <c r="S119" s="33"/>
      <c r="V119" s="6" t="str">
        <f>_xlfn.IFNA(VLOOKUP($U119, XtEHR!A:F,2,FALSE)&amp;"."&amp;TRIM(VLOOKUP($U119, XtEHR!A:F,3,FALSE)),"-")</f>
        <v>-</v>
      </c>
      <c r="AA119" t="str">
        <f>IF(LEN(Z119)&gt;0,_xlfn.XLOOKUP(Z119,FHIR!A:A,FHIR!E:E),"")</f>
        <v/>
      </c>
    </row>
    <row r="120" spans="13:27" ht="18.75" thickTop="1" thickBot="1" x14ac:dyDescent="0.35">
      <c r="M120" s="33"/>
      <c r="O120" s="33"/>
      <c r="Q120" s="33"/>
      <c r="R120" s="11"/>
      <c r="S120" s="33"/>
      <c r="AA120" t="str">
        <f>IF(LEN(Z120)&gt;0,_xlfn.XLOOKUP(Z120,FHIR!A:A,FHIR!E:E),"")</f>
        <v/>
      </c>
    </row>
    <row r="121" spans="13:27" ht="18.75" thickTop="1" thickBot="1" x14ac:dyDescent="0.35">
      <c r="M121" s="33"/>
      <c r="O121" s="33"/>
      <c r="Q121" s="33"/>
      <c r="R121" s="11"/>
      <c r="S121" s="33"/>
      <c r="AA121" t="str">
        <f>IF(LEN(Z121)&gt;0,_xlfn.XLOOKUP(Z121,FHIR!A:A,FHIR!E:E),"")</f>
        <v/>
      </c>
    </row>
    <row r="122" spans="13:27" ht="18.75" thickTop="1" thickBot="1" x14ac:dyDescent="0.35">
      <c r="M122" s="33"/>
      <c r="O122" s="33"/>
      <c r="Q122" s="33"/>
      <c r="R122" s="11"/>
      <c r="S122" s="33"/>
      <c r="AA122" t="str">
        <f>IF(LEN(Z122)&gt;0,_xlfn.XLOOKUP(Z122,FHIR!A:A,FHIR!E:E),"")</f>
        <v/>
      </c>
    </row>
    <row r="123" spans="13:27" ht="18.75" thickTop="1" thickBot="1" x14ac:dyDescent="0.35">
      <c r="M123" s="33"/>
      <c r="O123" s="33"/>
      <c r="Q123" s="33"/>
      <c r="R123" s="11"/>
      <c r="S123" s="33"/>
      <c r="AA123" t="str">
        <f>IF(LEN(Z123)&gt;0,_xlfn.XLOOKUP(Z123,FHIR!A:A,FHIR!E:E),"")</f>
        <v/>
      </c>
    </row>
    <row r="124" spans="13:27" ht="18.75" thickTop="1" thickBot="1" x14ac:dyDescent="0.35">
      <c r="M124" s="33"/>
      <c r="O124" s="33"/>
      <c r="Q124" s="33"/>
      <c r="R124" s="11"/>
      <c r="S124" s="33"/>
      <c r="AA124" t="str">
        <f>IF(LEN(Z124)&gt;0,_xlfn.XLOOKUP(Z124,FHIR!A:A,FHIR!E:E),"")</f>
        <v/>
      </c>
    </row>
    <row r="125" spans="13:27" ht="18.75" thickTop="1" thickBot="1" x14ac:dyDescent="0.35">
      <c r="M125" s="33"/>
      <c r="O125" s="33"/>
      <c r="Q125" s="33"/>
      <c r="R125" s="11"/>
      <c r="S125" s="33"/>
      <c r="AA125" t="str">
        <f>IF(LEN(Z125)&gt;0,_xlfn.XLOOKUP(Z125,FHIR!A:A,FHIR!E:E),"")</f>
        <v/>
      </c>
    </row>
    <row r="126" spans="13:27" ht="18.75" thickTop="1" thickBot="1" x14ac:dyDescent="0.35">
      <c r="M126" s="33"/>
      <c r="O126" s="33"/>
      <c r="Q126" s="33"/>
      <c r="R126" s="11"/>
      <c r="S126" s="33"/>
      <c r="AA126" t="str">
        <f>IF(LEN(Z126)&gt;0,_xlfn.XLOOKUP(Z126,FHIR!A:A,FHIR!E:E),"")</f>
        <v/>
      </c>
    </row>
    <row r="127" spans="13:27" ht="18.75" thickTop="1" thickBot="1" x14ac:dyDescent="0.35">
      <c r="M127" s="33"/>
      <c r="O127" s="33"/>
      <c r="Q127" s="33"/>
      <c r="R127" s="11"/>
      <c r="S127" s="33"/>
      <c r="AA127" t="str">
        <f>IF(LEN(Z127)&gt;0,_xlfn.XLOOKUP(Z127,FHIR!A:A,FHIR!E:E),"")</f>
        <v/>
      </c>
    </row>
    <row r="128" spans="13:27" ht="18.75" thickTop="1" thickBot="1" x14ac:dyDescent="0.35">
      <c r="M128" s="33"/>
      <c r="O128" s="33"/>
      <c r="Q128" s="33"/>
      <c r="R128" s="11"/>
      <c r="S128" s="33"/>
      <c r="AA128" t="str">
        <f>IF(LEN(Z128)&gt;0,_xlfn.XLOOKUP(Z128,FHIR!A:A,FHIR!E:E),"")</f>
        <v/>
      </c>
    </row>
    <row r="129" spans="13:27" ht="18.75" thickTop="1" thickBot="1" x14ac:dyDescent="0.35">
      <c r="M129" s="33"/>
      <c r="O129" s="33"/>
      <c r="Q129" s="33"/>
      <c r="R129" s="11"/>
      <c r="S129" s="33"/>
      <c r="AA129" t="str">
        <f>IF(LEN(Z129)&gt;0,_xlfn.XLOOKUP(Z129,FHIR!A:A,FHIR!E:E),"")</f>
        <v/>
      </c>
    </row>
    <row r="130" spans="13:27" ht="18.75" thickTop="1" thickBot="1" x14ac:dyDescent="0.35">
      <c r="M130" s="33"/>
      <c r="O130" s="33"/>
      <c r="Q130" s="33"/>
      <c r="R130" s="11"/>
      <c r="S130" s="33"/>
      <c r="AA130" t="str">
        <f>IF(LEN(Z130)&gt;0,_xlfn.XLOOKUP(Z130,FHIR!A:A,FHIR!E:E),"")</f>
        <v/>
      </c>
    </row>
    <row r="131" spans="13:27" ht="18.75" thickTop="1" thickBot="1" x14ac:dyDescent="0.35">
      <c r="M131" s="33"/>
      <c r="O131" s="33"/>
      <c r="Q131" s="33"/>
      <c r="R131" s="11"/>
      <c r="S131" s="33"/>
      <c r="AA131" t="str">
        <f>IF(LEN(Z131)&gt;0,_xlfn.XLOOKUP(Z131,FHIR!A:A,FHIR!E:E),"")</f>
        <v/>
      </c>
    </row>
    <row r="132" spans="13:27" ht="18.75" thickTop="1" thickBot="1" x14ac:dyDescent="0.35">
      <c r="M132" s="33"/>
      <c r="O132" s="33"/>
      <c r="Q132" s="33"/>
      <c r="R132" s="11"/>
      <c r="S132" s="33"/>
      <c r="AA132" t="str">
        <f>IF(LEN(Z132)&gt;0,_xlfn.XLOOKUP(Z132,FHIR!A:A,FHIR!E:E),"")</f>
        <v/>
      </c>
    </row>
    <row r="133" spans="13:27" ht="18.75" thickTop="1" thickBot="1" x14ac:dyDescent="0.35">
      <c r="M133" s="33"/>
      <c r="O133" s="33"/>
      <c r="Q133" s="33"/>
      <c r="R133" s="11"/>
      <c r="S133" s="33"/>
      <c r="AA133" t="str">
        <f>IF(LEN(Z133)&gt;0,_xlfn.XLOOKUP(Z133,FHIR!A:A,FHIR!E:E),"")</f>
        <v/>
      </c>
    </row>
    <row r="134" spans="13:27" ht="18.75" thickTop="1" thickBot="1" x14ac:dyDescent="0.35">
      <c r="M134" s="33"/>
      <c r="O134" s="33"/>
      <c r="Q134" s="33"/>
      <c r="R134" s="11"/>
      <c r="S134" s="33"/>
      <c r="AA134" t="str">
        <f>IF(LEN(Z134)&gt;0,_xlfn.XLOOKUP(Z134,FHIR!A:A,FHIR!E:E),"")</f>
        <v/>
      </c>
    </row>
    <row r="135" spans="13:27" ht="18.75" thickTop="1" thickBot="1" x14ac:dyDescent="0.35">
      <c r="M135" s="33"/>
      <c r="O135" s="33"/>
      <c r="Q135" s="33"/>
      <c r="R135" s="11"/>
      <c r="S135" s="33"/>
      <c r="AA135" t="str">
        <f>IF(LEN(Z135)&gt;0,_xlfn.XLOOKUP(Z135,FHIR!A:A,FHIR!E:E),"")</f>
        <v/>
      </c>
    </row>
    <row r="136" spans="13:27" ht="18.75" thickTop="1" thickBot="1" x14ac:dyDescent="0.35">
      <c r="M136" s="33"/>
      <c r="O136" s="33"/>
      <c r="Q136" s="33"/>
      <c r="R136" s="11"/>
      <c r="S136" s="33"/>
      <c r="AA136" t="str">
        <f>IF(LEN(Z136)&gt;0,_xlfn.XLOOKUP(Z136,FHIR!A:A,FHIR!E:E),"")</f>
        <v/>
      </c>
    </row>
    <row r="137" spans="13:27" ht="18.75" thickTop="1" thickBot="1" x14ac:dyDescent="0.35">
      <c r="M137" s="33"/>
      <c r="O137" s="33"/>
      <c r="Q137" s="33"/>
      <c r="R137" s="11"/>
      <c r="S137" s="33"/>
      <c r="AA137" t="str">
        <f>IF(LEN(Z137)&gt;0,_xlfn.XLOOKUP(Z137,FHIR!A:A,FHIR!E:E),"")</f>
        <v/>
      </c>
    </row>
    <row r="138" spans="13:27" ht="18.75" thickTop="1" thickBot="1" x14ac:dyDescent="0.35">
      <c r="M138" s="33"/>
      <c r="O138" s="33"/>
      <c r="Q138" s="33"/>
      <c r="R138" s="11"/>
      <c r="S138" s="33"/>
      <c r="AA138" t="str">
        <f>IF(LEN(Z138)&gt;0,_xlfn.XLOOKUP(Z138,FHIR!A:A,FHIR!E:E),"")</f>
        <v/>
      </c>
    </row>
    <row r="139" spans="13:27" ht="18.75" thickTop="1" thickBot="1" x14ac:dyDescent="0.35">
      <c r="M139" s="33"/>
      <c r="O139" s="33"/>
      <c r="Q139" s="33"/>
      <c r="R139" s="11"/>
      <c r="S139" s="33"/>
      <c r="AA139" t="str">
        <f>IF(LEN(Z139)&gt;0,_xlfn.XLOOKUP(Z139,FHIR!A:A,FHIR!E:E),"")</f>
        <v/>
      </c>
    </row>
    <row r="140" spans="13:27" ht="18.75" thickTop="1" thickBot="1" x14ac:dyDescent="0.35">
      <c r="M140" s="33"/>
      <c r="O140" s="33"/>
      <c r="Q140" s="33"/>
      <c r="R140" s="11"/>
      <c r="S140" s="33"/>
      <c r="AA140" t="str">
        <f>IF(LEN(Z140)&gt;0,_xlfn.XLOOKUP(Z140,FHIR!A:A,FHIR!E:E),"")</f>
        <v/>
      </c>
    </row>
    <row r="141" spans="13:27" ht="18.75" thickTop="1" thickBot="1" x14ac:dyDescent="0.35">
      <c r="M141" s="33"/>
      <c r="O141" s="33"/>
      <c r="Q141" s="33"/>
      <c r="R141" s="11"/>
      <c r="S141" s="33"/>
      <c r="AA141" t="str">
        <f>IF(LEN(Z141)&gt;0,_xlfn.XLOOKUP(Z141,FHIR!A:A,FHIR!E:E),"")</f>
        <v/>
      </c>
    </row>
    <row r="142" spans="13:27" ht="18.75" thickTop="1" thickBot="1" x14ac:dyDescent="0.35">
      <c r="M142" s="33"/>
      <c r="O142" s="33"/>
      <c r="Q142" s="33"/>
      <c r="R142" s="11"/>
      <c r="S142" s="33"/>
      <c r="AA142" t="str">
        <f>IF(LEN(Z142)&gt;0,_xlfn.XLOOKUP(Z142,FHIR!A:A,FHIR!E:E),"")</f>
        <v/>
      </c>
    </row>
    <row r="143" spans="13:27" ht="18.75" thickTop="1" thickBot="1" x14ac:dyDescent="0.35">
      <c r="M143" s="33"/>
      <c r="O143" s="33"/>
      <c r="Q143" s="33"/>
      <c r="R143" s="11"/>
      <c r="S143" s="33"/>
      <c r="AA143" t="str">
        <f>IF(LEN(Z143)&gt;0,_xlfn.XLOOKUP(Z143,FHIR!A:A,FHIR!E:E),"")</f>
        <v/>
      </c>
    </row>
    <row r="144" spans="13:27" ht="18.75" thickTop="1" thickBot="1" x14ac:dyDescent="0.35">
      <c r="M144" s="33"/>
      <c r="O144" s="33"/>
      <c r="Q144" s="33"/>
      <c r="R144" s="11"/>
      <c r="S144" s="33"/>
      <c r="AA144" t="str">
        <f>IF(LEN(Z144)&gt;0,_xlfn.XLOOKUP(Z144,FHIR!A:A,FHIR!E:E),"")</f>
        <v/>
      </c>
    </row>
    <row r="145" spans="13:27" ht="18.75" thickTop="1" thickBot="1" x14ac:dyDescent="0.35">
      <c r="M145" s="33"/>
      <c r="O145" s="33"/>
      <c r="Q145" s="33"/>
      <c r="R145" s="11"/>
      <c r="S145" s="33"/>
      <c r="AA145" t="str">
        <f>IF(LEN(Z145)&gt;0,_xlfn.XLOOKUP(Z145,FHIR!A:A,FHIR!E:E),"")</f>
        <v/>
      </c>
    </row>
    <row r="146" spans="13:27" ht="18.75" thickTop="1" thickBot="1" x14ac:dyDescent="0.35">
      <c r="M146" s="33"/>
      <c r="O146" s="33"/>
      <c r="Q146" s="33"/>
      <c r="R146" s="11"/>
      <c r="S146" s="33"/>
      <c r="AA146" t="str">
        <f>IF(LEN(Z146)&gt;0,_xlfn.XLOOKUP(Z146,FHIR!A:A,FHIR!E:E),"")</f>
        <v/>
      </c>
    </row>
    <row r="147" spans="13:27" ht="15.75" thickTop="1" x14ac:dyDescent="0.25">
      <c r="AA147" t="str">
        <f>IF(LEN(Z147)&gt;0,_xlfn.XLOOKUP(Z147,FHIR!A:A,FHIR!E:E),"")</f>
        <v/>
      </c>
    </row>
    <row r="148" spans="13:27" x14ac:dyDescent="0.25">
      <c r="AA148" t="str">
        <f>IF(LEN(Z148)&gt;0,_xlfn.XLOOKUP(Z148,FHIR!A:A,FHIR!E:E),"")</f>
        <v/>
      </c>
    </row>
    <row r="149" spans="13:27" x14ac:dyDescent="0.25">
      <c r="AA149" t="str">
        <f>IF(LEN(Z149)&gt;0,_xlfn.XLOOKUP(Z149,FHIR!A:A,FHIR!E:E),"")</f>
        <v/>
      </c>
    </row>
    <row r="150" spans="13:27" x14ac:dyDescent="0.25">
      <c r="AA150" t="str">
        <f>IF(LEN(Z150)&gt;0,_xlfn.XLOOKUP(Z150,FHIR!A:A,FHIR!E:E),"")</f>
        <v/>
      </c>
    </row>
    <row r="151" spans="13:27" x14ac:dyDescent="0.25">
      <c r="AA151" t="str">
        <f>IF(LEN(Z151)&gt;0,_xlfn.XLOOKUP(Z151,FHIR!A:A,FHIR!E:E),"")</f>
        <v/>
      </c>
    </row>
    <row r="152" spans="13:27" x14ac:dyDescent="0.25">
      <c r="AA152" t="str">
        <f>IF(LEN(Z152)&gt;0,_xlfn.XLOOKUP(Z152,FHIR!A:A,FHIR!E:E),"")</f>
        <v/>
      </c>
    </row>
    <row r="153" spans="13:27" x14ac:dyDescent="0.25">
      <c r="AA153" t="str">
        <f>IF(LEN(Z153)&gt;0,_xlfn.XLOOKUP(Z153,FHIR!A:A,FHIR!E:E),"")</f>
        <v/>
      </c>
    </row>
    <row r="154" spans="13:27" x14ac:dyDescent="0.25">
      <c r="AA154" t="str">
        <f>IF(LEN(Z154)&gt;0,_xlfn.XLOOKUP(Z154,FHIR!A:A,FHIR!E:E),"")</f>
        <v/>
      </c>
    </row>
    <row r="155" spans="13:27" x14ac:dyDescent="0.25">
      <c r="AA155" t="str">
        <f>IF(LEN(Z155)&gt;0,_xlfn.XLOOKUP(Z155,FHIR!A:A,FHIR!E:E),"")</f>
        <v/>
      </c>
    </row>
    <row r="156" spans="13:27" x14ac:dyDescent="0.25">
      <c r="AA156" t="str">
        <f>IF(LEN(Z156)&gt;0,_xlfn.XLOOKUP(Z156,FHIR!A:A,FHIR!E:E),"")</f>
        <v/>
      </c>
    </row>
    <row r="157" spans="13:27" x14ac:dyDescent="0.25">
      <c r="AA157" t="str">
        <f>IF(LEN(Z157)&gt;0,_xlfn.XLOOKUP(Z157,FHIR!A:A,FHIR!E:E),"")</f>
        <v/>
      </c>
    </row>
    <row r="158" spans="13:27" x14ac:dyDescent="0.25">
      <c r="AA158" t="str">
        <f>IF(LEN(Z158)&gt;0,_xlfn.XLOOKUP(Z158,FHIR!A:A,FHIR!E:E),"")</f>
        <v/>
      </c>
    </row>
    <row r="159" spans="13:27" x14ac:dyDescent="0.25">
      <c r="AA159" t="str">
        <f>IF(LEN(Z159)&gt;0,_xlfn.XLOOKUP(Z159,FHIR!A:A,FHIR!E:E),"")</f>
        <v/>
      </c>
    </row>
    <row r="160" spans="13:27" x14ac:dyDescent="0.25">
      <c r="AA160" t="str">
        <f>IF(LEN(Z160)&gt;0,_xlfn.XLOOKUP(Z160,FHIR!A:A,FHIR!E:E),"")</f>
        <v/>
      </c>
    </row>
    <row r="161" spans="27:27" x14ac:dyDescent="0.25">
      <c r="AA161" t="str">
        <f>IF(LEN(Z161)&gt;0,_xlfn.XLOOKUP(Z161,FHIR!A:A,FHIR!E:E),"")</f>
        <v/>
      </c>
    </row>
    <row r="162" spans="27:27" x14ac:dyDescent="0.25">
      <c r="AA162" t="str">
        <f>IF(LEN(Z162)&gt;0,_xlfn.XLOOKUP(Z162,FHIR!A:A,FHIR!E:E),"")</f>
        <v/>
      </c>
    </row>
    <row r="163" spans="27:27" x14ac:dyDescent="0.25">
      <c r="AA163" t="str">
        <f>IF(LEN(Z163)&gt;0,_xlfn.XLOOKUP(Z163,FHIR!A:A,FHIR!E:E),"")</f>
        <v/>
      </c>
    </row>
    <row r="164" spans="27:27" x14ac:dyDescent="0.25">
      <c r="AA164" t="str">
        <f>IF(LEN(Z164)&gt;0,_xlfn.XLOOKUP(Z164,FHIR!A:A,FHIR!E:E),"")</f>
        <v/>
      </c>
    </row>
    <row r="165" spans="27:27" x14ac:dyDescent="0.25">
      <c r="AA165" t="str">
        <f>IF(LEN(Z165)&gt;0,_xlfn.XLOOKUP(Z165,FHIR!A:A,FHIR!E:E),"")</f>
        <v/>
      </c>
    </row>
    <row r="166" spans="27:27" x14ac:dyDescent="0.25">
      <c r="AA166" t="str">
        <f>IF(LEN(Z166)&gt;0,_xlfn.XLOOKUP(Z166,FHIR!A:A,FHIR!E:E),"")</f>
        <v/>
      </c>
    </row>
    <row r="167" spans="27:27" x14ac:dyDescent="0.25">
      <c r="AA167" t="str">
        <f>IF(LEN(Z167)&gt;0,_xlfn.XLOOKUP(Z167,FHIR!A:A,FHIR!E:E),"")</f>
        <v/>
      </c>
    </row>
    <row r="168" spans="27:27" x14ac:dyDescent="0.25">
      <c r="AA168" t="str">
        <f>IF(LEN(Z168)&gt;0,_xlfn.XLOOKUP(Z168,FHIR!A:A,FHIR!E:E),"")</f>
        <v/>
      </c>
    </row>
    <row r="169" spans="27:27" x14ac:dyDescent="0.25">
      <c r="AA169" t="str">
        <f>IF(LEN(Z169)&gt;0,_xlfn.XLOOKUP(Z169,FHIR!A:A,FHIR!E:E),"")</f>
        <v/>
      </c>
    </row>
    <row r="170" spans="27:27" x14ac:dyDescent="0.25">
      <c r="AA170" t="str">
        <f>IF(LEN(Z170)&gt;0,_xlfn.XLOOKUP(Z170,FHIR!A:A,FHIR!E:E),"")</f>
        <v/>
      </c>
    </row>
    <row r="171" spans="27:27" x14ac:dyDescent="0.25">
      <c r="AA171" t="str">
        <f>IF(LEN(Z171)&gt;0,_xlfn.XLOOKUP(Z171,FHIR!A:A,FHIR!E:E),"")</f>
        <v/>
      </c>
    </row>
    <row r="172" spans="27:27" x14ac:dyDescent="0.25">
      <c r="AA172" t="str">
        <f>IF(LEN(Z172)&gt;0,_xlfn.XLOOKUP(Z172,FHIR!A:A,FHIR!E:E),"")</f>
        <v/>
      </c>
    </row>
    <row r="173" spans="27:27" x14ac:dyDescent="0.25">
      <c r="AA173" t="str">
        <f>IF(LEN(Z173)&gt;0,_xlfn.XLOOKUP(Z173,FHIR!A:A,FHIR!E:E),"")</f>
        <v/>
      </c>
    </row>
    <row r="174" spans="27:27" x14ac:dyDescent="0.25">
      <c r="AA174" t="str">
        <f>IF(LEN(Z174)&gt;0,_xlfn.XLOOKUP(Z174,FHIR!A:A,FHIR!E:E),"")</f>
        <v/>
      </c>
    </row>
    <row r="175" spans="27:27" x14ac:dyDescent="0.25">
      <c r="AA175" t="str">
        <f>IF(LEN(Z175)&gt;0,_xlfn.XLOOKUP(Z175,FHIR!A:A,FHIR!E:E),"")</f>
        <v/>
      </c>
    </row>
    <row r="176" spans="27:27" x14ac:dyDescent="0.25">
      <c r="AA176" t="str">
        <f>IF(LEN(Z176)&gt;0,_xlfn.XLOOKUP(Z176,FHIR!A:A,FHIR!E:E),"")</f>
        <v/>
      </c>
    </row>
    <row r="177" spans="27:27" x14ac:dyDescent="0.25">
      <c r="AA177" t="str">
        <f>IF(LEN(Z177)&gt;0,_xlfn.XLOOKUP(Z177,FHIR!A:A,FHIR!E:E),"")</f>
        <v/>
      </c>
    </row>
    <row r="178" spans="27:27" x14ac:dyDescent="0.25">
      <c r="AA178" t="str">
        <f>IF(LEN(Z178)&gt;0,_xlfn.XLOOKUP(Z178,FHIR!A:A,FHIR!E:E),"")</f>
        <v/>
      </c>
    </row>
    <row r="179" spans="27:27" x14ac:dyDescent="0.25">
      <c r="AA179" t="str">
        <f>IF(LEN(Z179)&gt;0,_xlfn.XLOOKUP(Z179,FHIR!A:A,FHIR!E:E),"")</f>
        <v/>
      </c>
    </row>
    <row r="180" spans="27:27" x14ac:dyDescent="0.25">
      <c r="AA180" t="str">
        <f>IF(LEN(Z180)&gt;0,_xlfn.XLOOKUP(Z180,FHIR!A:A,FHIR!E:E),"")</f>
        <v/>
      </c>
    </row>
    <row r="181" spans="27:27" x14ac:dyDescent="0.25">
      <c r="AA181" t="str">
        <f>IF(LEN(Z181)&gt;0,_xlfn.XLOOKUP(Z181,FHIR!A:A,FHIR!E:E),"")</f>
        <v/>
      </c>
    </row>
    <row r="182" spans="27:27" x14ac:dyDescent="0.25">
      <c r="AA182" t="str">
        <f>IF(LEN(Z182)&gt;0,_xlfn.XLOOKUP(Z182,FHIR!A:A,FHIR!E:E),"")</f>
        <v/>
      </c>
    </row>
    <row r="183" spans="27:27" x14ac:dyDescent="0.25">
      <c r="AA183" t="str">
        <f>IF(LEN(Z183)&gt;0,_xlfn.XLOOKUP(Z183,FHIR!A:A,FHIR!E:E),"")</f>
        <v/>
      </c>
    </row>
    <row r="184" spans="27:27" x14ac:dyDescent="0.25">
      <c r="AA184" t="str">
        <f>IF(LEN(Z184)&gt;0,_xlfn.XLOOKUP(Z184,FHIR!A:A,FHIR!E:E),"")</f>
        <v/>
      </c>
    </row>
    <row r="185" spans="27:27" x14ac:dyDescent="0.25">
      <c r="AA185" t="str">
        <f>IF(LEN(Z185)&gt;0,_xlfn.XLOOKUP(Z185,FHIR!A:A,FHIR!E:E),"")</f>
        <v/>
      </c>
    </row>
    <row r="186" spans="27:27" x14ac:dyDescent="0.25">
      <c r="AA186" t="str">
        <f>IF(LEN(Z186)&gt;0,_xlfn.XLOOKUP(Z186,FHIR!A:A,FHIR!E:E),"")</f>
        <v/>
      </c>
    </row>
    <row r="187" spans="27:27" x14ac:dyDescent="0.25">
      <c r="AA187" t="str">
        <f>IF(LEN(Z187)&gt;0,_xlfn.XLOOKUP(Z187,FHIR!A:A,FHIR!E:E),"")</f>
        <v/>
      </c>
    </row>
    <row r="188" spans="27:27" x14ac:dyDescent="0.25">
      <c r="AA188" t="str">
        <f>IF(LEN(Z188)&gt;0,_xlfn.XLOOKUP(Z188,FHIR!A:A,FHIR!E:E),"")</f>
        <v/>
      </c>
    </row>
    <row r="189" spans="27:27" x14ac:dyDescent="0.25">
      <c r="AA189" t="str">
        <f>IF(LEN(Z189)&gt;0,_xlfn.XLOOKUP(Z189,FHIR!A:A,FHIR!E:E),"")</f>
        <v/>
      </c>
    </row>
    <row r="190" spans="27:27" x14ac:dyDescent="0.25">
      <c r="AA190" t="str">
        <f>IF(LEN(Z190)&gt;0,_xlfn.XLOOKUP(Z190,FHIR!A:A,FHIR!E:E),"")</f>
        <v/>
      </c>
    </row>
    <row r="191" spans="27:27" x14ac:dyDescent="0.25">
      <c r="AA191" t="str">
        <f>IF(LEN(Z191)&gt;0,_xlfn.XLOOKUP(Z191,FHIR!A:A,FHIR!E:E),"")</f>
        <v/>
      </c>
    </row>
    <row r="192" spans="27:27" x14ac:dyDescent="0.25">
      <c r="AA192" t="str">
        <f>IF(LEN(Z192)&gt;0,_xlfn.XLOOKUP(Z192,FHIR!A:A,FHIR!E:E),"")</f>
        <v/>
      </c>
    </row>
    <row r="193" spans="27:27" x14ac:dyDescent="0.25">
      <c r="AA193" t="str">
        <f>IF(LEN(Z193)&gt;0,_xlfn.XLOOKUP(Z193,FHIR!A:A,FHIR!E:E),"")</f>
        <v/>
      </c>
    </row>
    <row r="194" spans="27:27" x14ac:dyDescent="0.25">
      <c r="AA194" t="str">
        <f>IF(LEN(Z194)&gt;0,_xlfn.XLOOKUP(Z194,FHIR!A:A,FHIR!E:E),"")</f>
        <v/>
      </c>
    </row>
    <row r="195" spans="27:27" x14ac:dyDescent="0.25">
      <c r="AA195" t="str">
        <f>IF(LEN(Z195)&gt;0,_xlfn.XLOOKUP(Z195,FHIR!A:A,FHIR!E:E),"")</f>
        <v/>
      </c>
    </row>
    <row r="196" spans="27:27" x14ac:dyDescent="0.25">
      <c r="AA196" t="str">
        <f>IF(LEN(Z196)&gt;0,_xlfn.XLOOKUP(Z196,FHIR!A:A,FHIR!E:E),"")</f>
        <v/>
      </c>
    </row>
    <row r="197" spans="27:27" x14ac:dyDescent="0.25">
      <c r="AA197" t="str">
        <f>IF(LEN(Z197)&gt;0,_xlfn.XLOOKUP(Z197,FHIR!A:A,FHIR!E:E),"")</f>
        <v/>
      </c>
    </row>
    <row r="198" spans="27:27" x14ac:dyDescent="0.25">
      <c r="AA198" t="str">
        <f>IF(LEN(Z198)&gt;0,_xlfn.XLOOKUP(Z198,FHIR!A:A,FHIR!E:E),"")</f>
        <v/>
      </c>
    </row>
    <row r="199" spans="27:27" x14ac:dyDescent="0.25">
      <c r="AA199" t="str">
        <f>IF(LEN(Z199)&gt;0,_xlfn.XLOOKUP(Z199,FHIR!A:A,FHIR!E:E),"")</f>
        <v/>
      </c>
    </row>
    <row r="200" spans="27:27" x14ac:dyDescent="0.25">
      <c r="AA200" t="str">
        <f>IF(LEN(Z200)&gt;0,_xlfn.XLOOKUP(Z200,FHIR!A:A,FHIR!E:E),"")</f>
        <v/>
      </c>
    </row>
    <row r="201" spans="27:27" x14ac:dyDescent="0.25">
      <c r="AA201" t="str">
        <f>IF(LEN(Z201)&gt;0,_xlfn.XLOOKUP(Z201,FHIR!A:A,FHIR!E:E),"")</f>
        <v/>
      </c>
    </row>
    <row r="202" spans="27:27" x14ac:dyDescent="0.25">
      <c r="AA202" t="str">
        <f>IF(LEN(Z202)&gt;0,_xlfn.XLOOKUP(Z202,FHIR!A:A,FHIR!E:E),"")</f>
        <v/>
      </c>
    </row>
    <row r="203" spans="27:27" x14ac:dyDescent="0.25">
      <c r="AA203" t="str">
        <f>IF(LEN(Z203)&gt;0,_xlfn.XLOOKUP(Z203,FHIR!A:A,FHIR!E:E),"")</f>
        <v/>
      </c>
    </row>
    <row r="204" spans="27:27" x14ac:dyDescent="0.25">
      <c r="AA204" t="str">
        <f>IF(LEN(Z204)&gt;0,_xlfn.XLOOKUP(Z204,FHIR!A:A,FHIR!E:E),"")</f>
        <v/>
      </c>
    </row>
    <row r="205" spans="27:27" x14ac:dyDescent="0.25">
      <c r="AA205" t="str">
        <f>IF(LEN(Z205)&gt;0,_xlfn.XLOOKUP(Z205,FHIR!A:A,FHIR!E:E),"")</f>
        <v/>
      </c>
    </row>
    <row r="206" spans="27:27" x14ac:dyDescent="0.25">
      <c r="AA206" t="str">
        <f>IF(LEN(Z206)&gt;0,_xlfn.XLOOKUP(Z206,FHIR!A:A,FHIR!E:E),"")</f>
        <v/>
      </c>
    </row>
    <row r="207" spans="27:27" x14ac:dyDescent="0.25">
      <c r="AA207" t="str">
        <f>IF(LEN(Z207)&gt;0,_xlfn.XLOOKUP(Z207,FHIR!A:A,FHIR!E:E),"")</f>
        <v/>
      </c>
    </row>
    <row r="208" spans="27:27" x14ac:dyDescent="0.25">
      <c r="AA208" t="str">
        <f>IF(LEN(Z208)&gt;0,_xlfn.XLOOKUP(Z208,FHIR!A:A,FHIR!E:E),"")</f>
        <v/>
      </c>
    </row>
    <row r="209" spans="27:27" x14ac:dyDescent="0.25">
      <c r="AA209" t="str">
        <f>IF(LEN(Z209)&gt;0,_xlfn.XLOOKUP(Z209,FHIR!A:A,FHIR!E:E),"")</f>
        <v/>
      </c>
    </row>
    <row r="210" spans="27:27" x14ac:dyDescent="0.25">
      <c r="AA210" t="str">
        <f>IF(LEN(Z210)&gt;0,_xlfn.XLOOKUP(Z210,FHIR!A:A,FHIR!E:E),"")</f>
        <v/>
      </c>
    </row>
    <row r="211" spans="27:27" x14ac:dyDescent="0.25">
      <c r="AA211" t="str">
        <f>IF(LEN(Z211)&gt;0,_xlfn.XLOOKUP(Z211,FHIR!A:A,FHIR!E:E),"")</f>
        <v/>
      </c>
    </row>
    <row r="212" spans="27:27" x14ac:dyDescent="0.25">
      <c r="AA212" t="str">
        <f>IF(LEN(Z212)&gt;0,_xlfn.XLOOKUP(Z212,FHIR!A:A,FHIR!E:E),"")</f>
        <v/>
      </c>
    </row>
    <row r="213" spans="27:27" x14ac:dyDescent="0.25">
      <c r="AA213" t="str">
        <f>IF(LEN(Z213)&gt;0,_xlfn.XLOOKUP(Z213,FHIR!A:A,FHIR!E:E),"")</f>
        <v/>
      </c>
    </row>
    <row r="214" spans="27:27" x14ac:dyDescent="0.25">
      <c r="AA214" t="str">
        <f>IF(LEN(Z214)&gt;0,_xlfn.XLOOKUP(Z214,FHIR!A:A,FHIR!E:E),"")</f>
        <v/>
      </c>
    </row>
    <row r="215" spans="27:27" x14ac:dyDescent="0.25">
      <c r="AA215" t="str">
        <f>IF(LEN(Z215)&gt;0,_xlfn.XLOOKUP(Z215,FHIR!A:A,FHIR!E:E),"")</f>
        <v/>
      </c>
    </row>
    <row r="216" spans="27:27" x14ac:dyDescent="0.25">
      <c r="AA216" t="str">
        <f>IF(LEN(Z216)&gt;0,_xlfn.XLOOKUP(Z216,FHIR!A:A,FHIR!E:E),"")</f>
        <v/>
      </c>
    </row>
    <row r="217" spans="27:27" x14ac:dyDescent="0.25">
      <c r="AA217" t="str">
        <f>IF(LEN(Z217)&gt;0,_xlfn.XLOOKUP(Z217,FHIR!A:A,FHIR!E:E),"")</f>
        <v/>
      </c>
    </row>
    <row r="218" spans="27:27" x14ac:dyDescent="0.25">
      <c r="AA218" t="str">
        <f>IF(LEN(Z218)&gt;0,_xlfn.XLOOKUP(Z218,FHIR!A:A,FHIR!E:E),"")</f>
        <v/>
      </c>
    </row>
    <row r="219" spans="27:27" x14ac:dyDescent="0.25">
      <c r="AA219" t="str">
        <f>IF(LEN(Z219)&gt;0,_xlfn.XLOOKUP(Z219,FHIR!A:A,FHIR!E:E),"")</f>
        <v/>
      </c>
    </row>
    <row r="220" spans="27:27" x14ac:dyDescent="0.25">
      <c r="AA220" t="str">
        <f>IF(LEN(Z220)&gt;0,_xlfn.XLOOKUP(Z220,FHIR!A:A,FHIR!E:E),"")</f>
        <v/>
      </c>
    </row>
    <row r="221" spans="27:27" x14ac:dyDescent="0.25">
      <c r="AA221" t="str">
        <f>IF(LEN(Z221)&gt;0,_xlfn.XLOOKUP(Z221,FHIR!A:A,FHIR!E:E),"")</f>
        <v/>
      </c>
    </row>
    <row r="222" spans="27:27" x14ac:dyDescent="0.25">
      <c r="AA222" t="str">
        <f>IF(LEN(Z222)&gt;0,_xlfn.XLOOKUP(Z222,FHIR!A:A,FHIR!E:E),"")</f>
        <v/>
      </c>
    </row>
    <row r="223" spans="27:27" x14ac:dyDescent="0.25">
      <c r="AA223" t="str">
        <f>IF(LEN(Z223)&gt;0,_xlfn.XLOOKUP(Z223,FHIR!A:A,FHIR!E:E),"")</f>
        <v/>
      </c>
    </row>
    <row r="224" spans="27:27" x14ac:dyDescent="0.25">
      <c r="AA224" t="str">
        <f>IF(LEN(Z224)&gt;0,_xlfn.XLOOKUP(Z224,FHIR!A:A,FHIR!E:E),"")</f>
        <v/>
      </c>
    </row>
    <row r="225" spans="27:27" x14ac:dyDescent="0.25">
      <c r="AA225" t="str">
        <f>IF(LEN(Z225)&gt;0,_xlfn.XLOOKUP(Z225,FHIR!A:A,FHIR!E:E),"")</f>
        <v/>
      </c>
    </row>
    <row r="226" spans="27:27" x14ac:dyDescent="0.25">
      <c r="AA226" t="str">
        <f>IF(LEN(Z226)&gt;0,_xlfn.XLOOKUP(Z226,FHIR!A:A,FHIR!E:E),"")</f>
        <v/>
      </c>
    </row>
    <row r="227" spans="27:27" x14ac:dyDescent="0.25">
      <c r="AA227" t="str">
        <f>IF(LEN(Z227)&gt;0,_xlfn.XLOOKUP(Z227,FHIR!A:A,FHIR!E:E),"")</f>
        <v/>
      </c>
    </row>
    <row r="228" spans="27:27" x14ac:dyDescent="0.25">
      <c r="AA228" t="str">
        <f>IF(LEN(Z228)&gt;0,_xlfn.XLOOKUP(Z228,FHIR!A:A,FHIR!E:E),"")</f>
        <v/>
      </c>
    </row>
    <row r="229" spans="27:27" x14ac:dyDescent="0.25">
      <c r="AA229" t="str">
        <f>IF(LEN(Z229)&gt;0,_xlfn.XLOOKUP(Z229,FHIR!A:A,FHIR!E:E),"")</f>
        <v/>
      </c>
    </row>
    <row r="230" spans="27:27" x14ac:dyDescent="0.25">
      <c r="AA230" t="str">
        <f>IF(LEN(Z230)&gt;0,_xlfn.XLOOKUP(Z230,FHIR!A:A,FHIR!E:E),"")</f>
        <v/>
      </c>
    </row>
    <row r="231" spans="27:27" x14ac:dyDescent="0.25">
      <c r="AA231" t="str">
        <f>IF(LEN(Z231)&gt;0,_xlfn.XLOOKUP(Z231,FHIR!A:A,FHIR!E:E),"")</f>
        <v/>
      </c>
    </row>
    <row r="232" spans="27:27" x14ac:dyDescent="0.25">
      <c r="AA232" t="str">
        <f>IF(LEN(Z232)&gt;0,_xlfn.XLOOKUP(Z232,FHIR!A:A,FHIR!E:E),"")</f>
        <v/>
      </c>
    </row>
    <row r="233" spans="27:27" x14ac:dyDescent="0.25">
      <c r="AA233" t="str">
        <f>IF(LEN(Z233)&gt;0,_xlfn.XLOOKUP(Z233,FHIR!A:A,FHIR!E:E),"")</f>
        <v/>
      </c>
    </row>
    <row r="234" spans="27:27" x14ac:dyDescent="0.25">
      <c r="AA234" t="str">
        <f>IF(LEN(Z234)&gt;0,_xlfn.XLOOKUP(Z234,FHIR!A:A,FHIR!E:E),"")</f>
        <v/>
      </c>
    </row>
    <row r="235" spans="27:27" x14ac:dyDescent="0.25">
      <c r="AA235" t="str">
        <f>IF(LEN(Z235)&gt;0,_xlfn.XLOOKUP(Z235,FHIR!A:A,FHIR!E:E),"")</f>
        <v/>
      </c>
    </row>
    <row r="236" spans="27:27" x14ac:dyDescent="0.25">
      <c r="AA236" t="str">
        <f>IF(LEN(Z236)&gt;0,_xlfn.XLOOKUP(Z236,FHIR!A:A,FHIR!E:E),"")</f>
        <v/>
      </c>
    </row>
    <row r="237" spans="27:27" x14ac:dyDescent="0.25">
      <c r="AA237" t="str">
        <f>IF(LEN(Z237)&gt;0,_xlfn.XLOOKUP(Z237,FHIR!A:A,FHIR!E:E),"")</f>
        <v/>
      </c>
    </row>
    <row r="238" spans="27:27" x14ac:dyDescent="0.25">
      <c r="AA238" t="str">
        <f>IF(LEN(Z238)&gt;0,_xlfn.XLOOKUP(Z238,FHIR!A:A,FHIR!E:E),"")</f>
        <v/>
      </c>
    </row>
    <row r="239" spans="27:27" x14ac:dyDescent="0.25">
      <c r="AA239" t="str">
        <f>IF(LEN(Z239)&gt;0,_xlfn.XLOOKUP(Z239,FHIR!A:A,FHIR!E:E),"")</f>
        <v/>
      </c>
    </row>
    <row r="240" spans="27:27" x14ac:dyDescent="0.25">
      <c r="AA240" t="str">
        <f>IF(LEN(Z240)&gt;0,_xlfn.XLOOKUP(Z240,FHIR!A:A,FHIR!E:E),"")</f>
        <v/>
      </c>
    </row>
    <row r="241" spans="27:27" x14ac:dyDescent="0.25">
      <c r="AA241" t="str">
        <f>IF(LEN(Z241)&gt;0,_xlfn.XLOOKUP(Z241,FHIR!A:A,FHIR!E:E),"")</f>
        <v/>
      </c>
    </row>
    <row r="242" spans="27:27" x14ac:dyDescent="0.25">
      <c r="AA242" t="str">
        <f>IF(LEN(Z242)&gt;0,_xlfn.XLOOKUP(Z242,FHIR!A:A,FHIR!E:E),"")</f>
        <v/>
      </c>
    </row>
    <row r="243" spans="27:27" x14ac:dyDescent="0.25">
      <c r="AA243" t="str">
        <f>IF(LEN(Z243)&gt;0,_xlfn.XLOOKUP(Z243,FHIR!A:A,FHIR!E:E),"")</f>
        <v/>
      </c>
    </row>
    <row r="244" spans="27:27" x14ac:dyDescent="0.25">
      <c r="AA244" t="str">
        <f>IF(LEN(Z244)&gt;0,_xlfn.XLOOKUP(Z244,FHIR!A:A,FHIR!E:E),"")</f>
        <v/>
      </c>
    </row>
    <row r="245" spans="27:27" x14ac:dyDescent="0.25">
      <c r="AA245" t="str">
        <f>IF(LEN(Z245)&gt;0,_xlfn.XLOOKUP(Z245,FHIR!A:A,FHIR!E:E),"")</f>
        <v/>
      </c>
    </row>
    <row r="246" spans="27:27" x14ac:dyDescent="0.25">
      <c r="AA246" t="str">
        <f>IF(LEN(Z246)&gt;0,_xlfn.XLOOKUP(Z246,FHIR!A:A,FHIR!E:E),"")</f>
        <v/>
      </c>
    </row>
    <row r="247" spans="27:27" x14ac:dyDescent="0.25">
      <c r="AA247" t="str">
        <f>IF(LEN(Z247)&gt;0,_xlfn.XLOOKUP(Z247,FHIR!A:A,FHIR!E:E),"")</f>
        <v/>
      </c>
    </row>
    <row r="248" spans="27:27" x14ac:dyDescent="0.25">
      <c r="AA248" t="str">
        <f>IF(LEN(Z248)&gt;0,_xlfn.XLOOKUP(Z248,FHIR!A:A,FHIR!E:E),"")</f>
        <v/>
      </c>
    </row>
    <row r="249" spans="27:27" x14ac:dyDescent="0.25">
      <c r="AA249" t="str">
        <f>IF(LEN(Z249)&gt;0,_xlfn.XLOOKUP(Z249,FHIR!A:A,FHIR!E:E),"")</f>
        <v/>
      </c>
    </row>
    <row r="250" spans="27:27" x14ac:dyDescent="0.25">
      <c r="AA250" t="str">
        <f>IF(LEN(Z250)&gt;0,_xlfn.XLOOKUP(Z250,FHIR!A:A,FHIR!E:E),"")</f>
        <v/>
      </c>
    </row>
    <row r="251" spans="27:27" x14ac:dyDescent="0.25">
      <c r="AA251" t="str">
        <f>IF(LEN(Z251)&gt;0,_xlfn.XLOOKUP(Z251,FHIR!A:A,FHIR!E:E),"")</f>
        <v/>
      </c>
    </row>
    <row r="252" spans="27:27" x14ac:dyDescent="0.25">
      <c r="AA252" t="str">
        <f>IF(LEN(Z252)&gt;0,_xlfn.XLOOKUP(Z252,FHIR!A:A,FHIR!E:E),"")</f>
        <v/>
      </c>
    </row>
    <row r="253" spans="27:27" x14ac:dyDescent="0.25">
      <c r="AA253" t="str">
        <f>IF(LEN(Z253)&gt;0,_xlfn.XLOOKUP(Z253,FHIR!A:A,FHIR!E:E),"")</f>
        <v/>
      </c>
    </row>
    <row r="254" spans="27:27" x14ac:dyDescent="0.25">
      <c r="AA254" t="str">
        <f>IF(LEN(Z254)&gt;0,_xlfn.XLOOKUP(Z254,FHIR!A:A,FHIR!E:E),"")</f>
        <v/>
      </c>
    </row>
    <row r="255" spans="27:27" x14ac:dyDescent="0.25">
      <c r="AA255" t="str">
        <f>IF(LEN(Z255)&gt;0,_xlfn.XLOOKUP(Z255,FHIR!A:A,FHIR!E:E),"")</f>
        <v/>
      </c>
    </row>
    <row r="256" spans="27:27" x14ac:dyDescent="0.25">
      <c r="AA256" t="str">
        <f>IF(LEN(Z256)&gt;0,_xlfn.XLOOKUP(Z256,FHIR!A:A,FHIR!E:E),"")</f>
        <v/>
      </c>
    </row>
    <row r="257" spans="27:27" x14ac:dyDescent="0.25">
      <c r="AA257" t="str">
        <f>IF(LEN(Z257)&gt;0,_xlfn.XLOOKUP(Z257,FHIR!A:A,FHIR!E:E),"")</f>
        <v/>
      </c>
    </row>
    <row r="258" spans="27:27" x14ac:dyDescent="0.25">
      <c r="AA258" t="str">
        <f>IF(LEN(Z258)&gt;0,_xlfn.XLOOKUP(Z258,FHIR!A:A,FHIR!E:E),"")</f>
        <v/>
      </c>
    </row>
    <row r="259" spans="27:27" x14ac:dyDescent="0.25">
      <c r="AA259" t="str">
        <f>IF(LEN(Z259)&gt;0,_xlfn.XLOOKUP(Z259,FHIR!A:A,FHIR!E:E),"")</f>
        <v/>
      </c>
    </row>
    <row r="260" spans="27:27" x14ac:dyDescent="0.25">
      <c r="AA260" t="str">
        <f>IF(LEN(Z260)&gt;0,_xlfn.XLOOKUP(Z260,FHIR!A:A,FHIR!E:E),"")</f>
        <v/>
      </c>
    </row>
    <row r="261" spans="27:27" x14ac:dyDescent="0.25">
      <c r="AA261" t="str">
        <f>IF(LEN(Z261)&gt;0,_xlfn.XLOOKUP(Z261,FHIR!A:A,FHIR!E:E),"")</f>
        <v/>
      </c>
    </row>
    <row r="262" spans="27:27" x14ac:dyDescent="0.25">
      <c r="AA262" t="str">
        <f>IF(LEN(Z262)&gt;0,_xlfn.XLOOKUP(Z262,FHIR!A:A,FHIR!E:E),"")</f>
        <v/>
      </c>
    </row>
    <row r="263" spans="27:27" x14ac:dyDescent="0.25">
      <c r="AA263" t="str">
        <f>IF(LEN(Z263)&gt;0,_xlfn.XLOOKUP(Z263,FHIR!A:A,FHIR!E:E),"")</f>
        <v/>
      </c>
    </row>
    <row r="264" spans="27:27" x14ac:dyDescent="0.25">
      <c r="AA264" t="str">
        <f>IF(LEN(Z264)&gt;0,_xlfn.XLOOKUP(Z264,FHIR!A:A,FHIR!E:E),"")</f>
        <v/>
      </c>
    </row>
    <row r="265" spans="27:27" x14ac:dyDescent="0.25">
      <c r="AA265" t="str">
        <f>IF(LEN(Z265)&gt;0,_xlfn.XLOOKUP(Z265,FHIR!A:A,FHIR!E:E),"")</f>
        <v/>
      </c>
    </row>
    <row r="266" spans="27:27" x14ac:dyDescent="0.25">
      <c r="AA266" t="str">
        <f>IF(LEN(Z266)&gt;0,_xlfn.XLOOKUP(Z266,FHIR!A:A,FHIR!E:E),"")</f>
        <v/>
      </c>
    </row>
    <row r="267" spans="27:27" x14ac:dyDescent="0.25">
      <c r="AA267" t="str">
        <f>IF(LEN(Z267)&gt;0,_xlfn.XLOOKUP(Z267,FHIR!A:A,FHIR!E:E),"")</f>
        <v/>
      </c>
    </row>
    <row r="268" spans="27:27" x14ac:dyDescent="0.25">
      <c r="AA268" t="str">
        <f>IF(LEN(Z268)&gt;0,_xlfn.XLOOKUP(Z268,FHIR!A:A,FHIR!E:E),"")</f>
        <v/>
      </c>
    </row>
    <row r="269" spans="27:27" x14ac:dyDescent="0.25">
      <c r="AA269" t="str">
        <f>IF(LEN(Z269)&gt;0,_xlfn.XLOOKUP(Z269,FHIR!A:A,FHIR!E:E),"")</f>
        <v/>
      </c>
    </row>
    <row r="270" spans="27:27" x14ac:dyDescent="0.25">
      <c r="AA270" t="str">
        <f>IF(LEN(Z270)&gt;0,_xlfn.XLOOKUP(Z270,FHIR!A:A,FHIR!E:E),"")</f>
        <v/>
      </c>
    </row>
    <row r="271" spans="27:27" x14ac:dyDescent="0.25">
      <c r="AA271" t="str">
        <f>IF(LEN(Z271)&gt;0,_xlfn.XLOOKUP(Z271,FHIR!A:A,FHIR!E:E),"")</f>
        <v/>
      </c>
    </row>
    <row r="272" spans="27:27" x14ac:dyDescent="0.25">
      <c r="AA272" t="str">
        <f>IF(LEN(Z272)&gt;0,_xlfn.XLOOKUP(Z272,FHIR!A:A,FHIR!E:E),"")</f>
        <v/>
      </c>
    </row>
    <row r="273" spans="27:27" x14ac:dyDescent="0.25">
      <c r="AA273" t="str">
        <f>IF(LEN(Z273)&gt;0,_xlfn.XLOOKUP(Z273,FHIR!A:A,FHIR!E:E),"")</f>
        <v/>
      </c>
    </row>
    <row r="274" spans="27:27" x14ac:dyDescent="0.25">
      <c r="AA274" t="str">
        <f>IF(LEN(Z274)&gt;0,_xlfn.XLOOKUP(Z274,FHIR!A:A,FHIR!E:E),"")</f>
        <v/>
      </c>
    </row>
    <row r="275" spans="27:27" x14ac:dyDescent="0.25">
      <c r="AA275" t="str">
        <f>IF(LEN(Z275)&gt;0,_xlfn.XLOOKUP(Z275,FHIR!A:A,FHIR!E:E),"")</f>
        <v/>
      </c>
    </row>
    <row r="276" spans="27:27" x14ac:dyDescent="0.25">
      <c r="AA276" t="str">
        <f>IF(LEN(Z276)&gt;0,_xlfn.XLOOKUP(Z276,FHIR!A:A,FHIR!E:E),"")</f>
        <v/>
      </c>
    </row>
    <row r="277" spans="27:27" x14ac:dyDescent="0.25">
      <c r="AA277" t="str">
        <f>IF(LEN(Z277)&gt;0,_xlfn.XLOOKUP(Z277,FHIR!A:A,FHIR!E:E),"")</f>
        <v/>
      </c>
    </row>
    <row r="278" spans="27:27" x14ac:dyDescent="0.25">
      <c r="AA278" t="str">
        <f>IF(LEN(Z278)&gt;0,_xlfn.XLOOKUP(Z278,FHIR!A:A,FHIR!E:E),"")</f>
        <v/>
      </c>
    </row>
    <row r="279" spans="27:27" x14ac:dyDescent="0.25">
      <c r="AA279" t="str">
        <f>IF(LEN(Z279)&gt;0,_xlfn.XLOOKUP(Z279,FHIR!A:A,FHIR!E:E),"")</f>
        <v/>
      </c>
    </row>
    <row r="280" spans="27:27" x14ac:dyDescent="0.25">
      <c r="AA280" t="str">
        <f>IF(LEN(Z280)&gt;0,_xlfn.XLOOKUP(Z280,FHIR!A:A,FHIR!E:E),"")</f>
        <v/>
      </c>
    </row>
    <row r="281" spans="27:27" x14ac:dyDescent="0.25">
      <c r="AA281" t="str">
        <f>IF(LEN(Z281)&gt;0,_xlfn.XLOOKUP(Z281,FHIR!A:A,FHIR!E:E),"")</f>
        <v/>
      </c>
    </row>
    <row r="282" spans="27:27" x14ac:dyDescent="0.25">
      <c r="AA282" t="str">
        <f>IF(LEN(Z282)&gt;0,_xlfn.XLOOKUP(Z282,FHIR!A:A,FHIR!E:E),"")</f>
        <v/>
      </c>
    </row>
    <row r="283" spans="27:27" x14ac:dyDescent="0.25">
      <c r="AA283" t="str">
        <f>IF(LEN(Z283)&gt;0,_xlfn.XLOOKUP(Z283,FHIR!A:A,FHIR!E:E),"")</f>
        <v/>
      </c>
    </row>
    <row r="284" spans="27:27" x14ac:dyDescent="0.25">
      <c r="AA284" t="str">
        <f>IF(LEN(Z284)&gt;0,_xlfn.XLOOKUP(Z284,FHIR!A:A,FHIR!E:E),"")</f>
        <v/>
      </c>
    </row>
    <row r="285" spans="27:27" x14ac:dyDescent="0.25">
      <c r="AA285" t="str">
        <f>IF(LEN(Z285)&gt;0,_xlfn.XLOOKUP(Z285,FHIR!A:A,FHIR!E:E),"")</f>
        <v/>
      </c>
    </row>
    <row r="286" spans="27:27" x14ac:dyDescent="0.25">
      <c r="AA286" t="str">
        <f>IF(LEN(Z286)&gt;0,_xlfn.XLOOKUP(Z286,FHIR!A:A,FHIR!E:E),"")</f>
        <v/>
      </c>
    </row>
    <row r="287" spans="27:27" x14ac:dyDescent="0.25">
      <c r="AA287" t="str">
        <f>IF(LEN(Z287)&gt;0,_xlfn.XLOOKUP(Z287,FHIR!A:A,FHIR!E:E),"")</f>
        <v/>
      </c>
    </row>
    <row r="288" spans="27:27" x14ac:dyDescent="0.25">
      <c r="AA288" t="str">
        <f>IF(LEN(Z288)&gt;0,_xlfn.XLOOKUP(Z288,FHIR!A:A,FHIR!E:E),"")</f>
        <v/>
      </c>
    </row>
    <row r="289" spans="27:27" x14ac:dyDescent="0.25">
      <c r="AA289" t="str">
        <f>IF(LEN(Z289)&gt;0,_xlfn.XLOOKUP(Z289,FHIR!A:A,FHIR!E:E),"")</f>
        <v/>
      </c>
    </row>
    <row r="290" spans="27:27" x14ac:dyDescent="0.25">
      <c r="AA290" t="str">
        <f>IF(LEN(Z290)&gt;0,_xlfn.XLOOKUP(Z290,FHIR!A:A,FHIR!E:E),"")</f>
        <v/>
      </c>
    </row>
    <row r="291" spans="27:27" x14ac:dyDescent="0.25">
      <c r="AA291" t="str">
        <f>IF(LEN(Z291)&gt;0,_xlfn.XLOOKUP(Z291,FHIR!A:A,FHIR!E:E),"")</f>
        <v/>
      </c>
    </row>
    <row r="292" spans="27:27" x14ac:dyDescent="0.25">
      <c r="AA292" t="str">
        <f>IF(LEN(Z292)&gt;0,_xlfn.XLOOKUP(Z292,FHIR!A:A,FHIR!E:E),"")</f>
        <v/>
      </c>
    </row>
    <row r="293" spans="27:27" x14ac:dyDescent="0.25">
      <c r="AA293" t="str">
        <f>IF(LEN(Z293)&gt;0,_xlfn.XLOOKUP(Z293,FHIR!A:A,FHIR!E:E),"")</f>
        <v/>
      </c>
    </row>
    <row r="294" spans="27:27" x14ac:dyDescent="0.25">
      <c r="AA294" t="str">
        <f>IF(LEN(Z294)&gt;0,_xlfn.XLOOKUP(Z294,FHIR!A:A,FHIR!E:E),"")</f>
        <v/>
      </c>
    </row>
    <row r="295" spans="27:27" x14ac:dyDescent="0.25">
      <c r="AA295" t="str">
        <f>IF(LEN(Z295)&gt;0,_xlfn.XLOOKUP(Z295,FHIR!A:A,FHIR!E:E),"")</f>
        <v/>
      </c>
    </row>
    <row r="296" spans="27:27" x14ac:dyDescent="0.25">
      <c r="AA296" t="str">
        <f>IF(LEN(Z296)&gt;0,_xlfn.XLOOKUP(Z296,FHIR!A:A,FHIR!E:E),"")</f>
        <v/>
      </c>
    </row>
    <row r="297" spans="27:27" x14ac:dyDescent="0.25">
      <c r="AA297" t="str">
        <f>IF(LEN(Z297)&gt;0,_xlfn.XLOOKUP(Z297,FHIR!A:A,FHIR!E:E),"")</f>
        <v/>
      </c>
    </row>
    <row r="298" spans="27:27" x14ac:dyDescent="0.25">
      <c r="AA298" t="str">
        <f>IF(LEN(Z298)&gt;0,_xlfn.XLOOKUP(Z298,FHIR!A:A,FHIR!E:E),"")</f>
        <v/>
      </c>
    </row>
    <row r="299" spans="27:27" x14ac:dyDescent="0.25">
      <c r="AA299" t="str">
        <f>IF(LEN(Z299)&gt;0,_xlfn.XLOOKUP(Z299,FHIR!A:A,FHIR!E:E),"")</f>
        <v/>
      </c>
    </row>
    <row r="300" spans="27:27" x14ac:dyDescent="0.25">
      <c r="AA300" t="str">
        <f>IF(LEN(Z300)&gt;0,_xlfn.XLOOKUP(Z300,FHIR!A:A,FHIR!E:E),"")</f>
        <v/>
      </c>
    </row>
    <row r="301" spans="27:27" x14ac:dyDescent="0.25">
      <c r="AA301" t="str">
        <f>IF(LEN(Z301)&gt;0,_xlfn.XLOOKUP(Z301,FHIR!A:A,FHIR!E:E),"")</f>
        <v/>
      </c>
    </row>
    <row r="302" spans="27:27" x14ac:dyDescent="0.25">
      <c r="AA302" t="str">
        <f>IF(LEN(Z302)&gt;0,_xlfn.XLOOKUP(Z302,FHIR!A:A,FHIR!E:E),"")</f>
        <v/>
      </c>
    </row>
    <row r="303" spans="27:27" x14ac:dyDescent="0.25">
      <c r="AA303" t="str">
        <f>IF(LEN(Z303)&gt;0,_xlfn.XLOOKUP(Z303,FHIR!A:A,FHIR!E:E),"")</f>
        <v/>
      </c>
    </row>
    <row r="304" spans="27:27" x14ac:dyDescent="0.25">
      <c r="AA304" t="str">
        <f>IF(LEN(Z304)&gt;0,_xlfn.XLOOKUP(Z304,FHIR!A:A,FHIR!E:E),"")</f>
        <v/>
      </c>
    </row>
    <row r="305" spans="27:27" x14ac:dyDescent="0.25">
      <c r="AA305" t="str">
        <f>IF(LEN(Z305)&gt;0,_xlfn.XLOOKUP(Z305,FHIR!A:A,FHIR!E:E),"")</f>
        <v/>
      </c>
    </row>
    <row r="306" spans="27:27" x14ac:dyDescent="0.25">
      <c r="AA306" t="str">
        <f>IF(LEN(Z306)&gt;0,_xlfn.XLOOKUP(Z306,FHIR!A:A,FHIR!E:E),"")</f>
        <v/>
      </c>
    </row>
    <row r="307" spans="27:27" x14ac:dyDescent="0.25">
      <c r="AA307" t="str">
        <f>IF(LEN(Z307)&gt;0,_xlfn.XLOOKUP(Z307,FHIR!A:A,FHIR!E:E),"")</f>
        <v/>
      </c>
    </row>
    <row r="308" spans="27:27" x14ac:dyDescent="0.25">
      <c r="AA308" t="str">
        <f>IF(LEN(Z308)&gt;0,_xlfn.XLOOKUP(Z308,FHIR!A:A,FHIR!E:E),"")</f>
        <v/>
      </c>
    </row>
    <row r="309" spans="27:27" x14ac:dyDescent="0.25">
      <c r="AA309" t="str">
        <f>IF(LEN(Z309)&gt;0,_xlfn.XLOOKUP(Z309,FHIR!A:A,FHIR!E:E),"")</f>
        <v/>
      </c>
    </row>
    <row r="310" spans="27:27" x14ac:dyDescent="0.25">
      <c r="AA310" t="str">
        <f>IF(LEN(Z310)&gt;0,_xlfn.XLOOKUP(Z310,FHIR!A:A,FHIR!E:E),"")</f>
        <v/>
      </c>
    </row>
    <row r="311" spans="27:27" x14ac:dyDescent="0.25">
      <c r="AA311" t="str">
        <f>IF(LEN(Z311)&gt;0,_xlfn.XLOOKUP(Z311,FHIR!A:A,FHIR!E:E),"")</f>
        <v/>
      </c>
    </row>
    <row r="312" spans="27:27" x14ac:dyDescent="0.25">
      <c r="AA312" t="str">
        <f>IF(LEN(Z312)&gt;0,_xlfn.XLOOKUP(Z312,FHIR!A:A,FHIR!E:E),"")</f>
        <v/>
      </c>
    </row>
    <row r="313" spans="27:27" x14ac:dyDescent="0.25">
      <c r="AA313" t="str">
        <f>IF(LEN(Z313)&gt;0,_xlfn.XLOOKUP(Z313,FHIR!A:A,FHIR!E:E),"")</f>
        <v/>
      </c>
    </row>
    <row r="314" spans="27:27" x14ac:dyDescent="0.25">
      <c r="AA314" t="str">
        <f>IF(LEN(Z314)&gt;0,_xlfn.XLOOKUP(Z314,FHIR!A:A,FHIR!E:E),"")</f>
        <v/>
      </c>
    </row>
    <row r="315" spans="27:27" x14ac:dyDescent="0.25">
      <c r="AA315" t="str">
        <f>IF(LEN(Z315)&gt;0,_xlfn.XLOOKUP(Z315,FHIR!A:A,FHIR!E:E),"")</f>
        <v/>
      </c>
    </row>
    <row r="316" spans="27:27" x14ac:dyDescent="0.25">
      <c r="AA316" t="str">
        <f>IF(LEN(Z316)&gt;0,_xlfn.XLOOKUP(Z316,FHIR!A:A,FHIR!E:E),"")</f>
        <v/>
      </c>
    </row>
    <row r="317" spans="27:27" x14ac:dyDescent="0.25">
      <c r="AA317" t="str">
        <f>IF(LEN(Z317)&gt;0,_xlfn.XLOOKUP(Z317,FHIR!A:A,FHIR!E:E),"")</f>
        <v/>
      </c>
    </row>
    <row r="318" spans="27:27" x14ac:dyDescent="0.25">
      <c r="AA318" t="str">
        <f>IF(LEN(Z318)&gt;0,_xlfn.XLOOKUP(Z318,FHIR!A:A,FHIR!E:E),"")</f>
        <v/>
      </c>
    </row>
    <row r="319" spans="27:27" x14ac:dyDescent="0.25">
      <c r="AA319" t="str">
        <f>IF(LEN(Z319)&gt;0,_xlfn.XLOOKUP(Z319,FHIR!A:A,FHIR!E:E),"")</f>
        <v/>
      </c>
    </row>
    <row r="320" spans="27:27" x14ac:dyDescent="0.25">
      <c r="AA320" t="str">
        <f>IF(LEN(Z320)&gt;0,_xlfn.XLOOKUP(Z320,FHIR!A:A,FHIR!E:E),"")</f>
        <v/>
      </c>
    </row>
  </sheetData>
  <autoFilter ref="A1:AI147" xr:uid="{0A8BA5FA-2DC6-4ECF-832A-F637D3FDCF21}"/>
  <mergeCells count="1">
    <mergeCell ref="A43:A45"/>
  </mergeCells>
  <hyperlinks>
    <hyperlink ref="C3" r:id="rId1" location="sect_C.7.1.1" display="http://dicom.nema.org/medical/dicom/current/output/chtml/part03/sect_C.7.html - sect_C.7.1.1" xr:uid="{69D20FD2-C870-4C32-9816-316AF7D2FBE2}"/>
    <hyperlink ref="C26" r:id="rId2" location="sect_C.7.2.1" display="http://dicom.nema.org/medical/dicom/current/output/chtml/part03/sect_C.7.2.html - sect_C.7.2.1" xr:uid="{290A55C1-3161-460E-B999-8523C7EC5C94}"/>
    <hyperlink ref="C39" r:id="rId3" location="sect_C.7.5.1" display="http://dicom.nema.org/medical/dicom/current/output/chtml/part03/sect_C.7.5.html - sect_C.7.5.1" xr:uid="{F179A02E-2CC7-4198-A677-52049E56BC0C}"/>
    <hyperlink ref="C43" r:id="rId4" display="http://dicom.nema.org/medical/dicom/current/output/chtml/part03/sect_C.17.6.2.html" xr:uid="{1C316287-A9A9-45FA-A8E8-2B3A176F8AFC}"/>
    <hyperlink ref="C79" r:id="rId5" display="http://dicom.nema.org/medical/dicom/current/output/chtml/part03/sect_C.17.3.html" xr:uid="{730B5080-2074-49E3-A017-7A4AF20F58F4}"/>
    <hyperlink ref="C65" r:id="rId6" location="sect_C.12.1" display="http://dicom.nema.org/medical/dicom/current/output/chtml/part03/sect_C.12.html - sect_C.12.1" xr:uid="{14E11E30-61C2-4521-B1FD-E3BAE442B9D8}"/>
    <hyperlink ref="C68" r:id="rId7" location="sect_C.7.5.1" display="http://dicom.nema.org/medical/dicom/current/output/chtml/part03/sect_C.7.5.html - sect_C.7.5.1" xr:uid="{B733B2F6-655F-40B2-96B8-7B5791798D95}"/>
    <hyperlink ref="C69" r:id="rId8" location="sect_C.7.5.1" display="http://dicom.nema.org/medical/dicom/current/output/chtml/part03/sect_C.7.5.html - sect_C.7.5.1" xr:uid="{37310391-F462-4F89-B44B-A832C3FCEE44}"/>
    <hyperlink ref="C72" r:id="rId9" location="sect_C.7.5.1" display="http://dicom.nema.org/medical/dicom/current/output/chtml/part03/sect_C.7.5.html - sect_C.7.5.1" xr:uid="{44B29B02-B531-4A1F-A98A-EE59C6DE8D14}"/>
    <hyperlink ref="C73" r:id="rId10" location="sect_C.7.5.1" display="http://dicom.nema.org/medical/dicom/current/output/chtml/part03/sect_C.7.5.html - sect_C.7.5.1" xr:uid="{77B799BC-F8F2-47C0-90B4-D4E5BEE68F52}"/>
    <hyperlink ref="C74" r:id="rId11" location="sect_C.7.5.1" display="http://dicom.nema.org/medical/dicom/current/output/chtml/part03/sect_C.7.5.html - sect_C.7.5.1" xr:uid="{29651F2D-B57D-48F1-8C20-F2F9BDCE849C}"/>
    <hyperlink ref="C75" r:id="rId12" location="sect_C.7.5.1" display="http://dicom.nema.org/medical/dicom/current/output/chtml/part03/sect_C.7.5.html - sect_C.7.5.1" xr:uid="{21E4A11E-6B91-404A-BB18-99B714F9F568}"/>
    <hyperlink ref="C76" r:id="rId13" location="sect_C.7.5.1" display="http://dicom.nema.org/medical/dicom/current/output/chtml/part03/sect_C.7.5.html - sect_C.7.5.1" xr:uid="{9C116CF1-43B6-49A0-B436-05AE4D255AAB}"/>
    <hyperlink ref="C77" r:id="rId14" location="sect_C.7.5.1" display="http://dicom.nema.org/medical/dicom/current/output/chtml/part03/sect_C.7.5.html - sect_C.7.5.1" xr:uid="{FF0BDFC6-01BC-486C-A439-0BB4DA45362A}"/>
    <hyperlink ref="C66" r:id="rId15" location="sect_C.12.1" display="http://dicom.nema.org/medical/dicom/current/output/chtml/part03/sect_C.12.html - sect_C.12.1" xr:uid="{2E1543D8-2265-4117-B6CB-C83AECC5EB9A}"/>
    <hyperlink ref="C4" r:id="rId16" location="sect_C.7.1.1" display="http://dicom.nema.org/medical/dicom/current/output/chtml/part03/sect_C.7.html - sect_C.7.1.1" xr:uid="{D6FCAF20-C765-487D-A10D-42086CE673D2}"/>
    <hyperlink ref="C70" r:id="rId17" location="sect_C.7.5.1" display="http://dicom.nema.org/medical/dicom/current/output/chtml/part03/sect_C.7.5.html - sect_C.7.5.1" xr:uid="{81ECB435-252F-46C7-BFA0-872E64558E2D}"/>
    <hyperlink ref="C71" r:id="rId18" location="sect_C.7.5.1" display="http://dicom.nema.org/medical/dicom/current/output/chtml/part03/sect_C.7.5.html - sect_C.7.5.1" xr:uid="{0556C38D-1D86-4C04-9FB4-1C0F9E18E951}"/>
  </hyperlinks>
  <pageMargins left="0.7" right="0.7" top="0.75" bottom="0.75" header="0.3" footer="0.3"/>
  <pageSetup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A19F-4247-423C-9C63-E58C57E7E27D}">
  <dimension ref="A1:Y121"/>
  <sheetViews>
    <sheetView zoomScale="70" zoomScaleNormal="70" workbookViewId="0">
      <pane xSplit="2" ySplit="1" topLeftCell="C53" activePane="bottomRight" state="frozen"/>
      <selection pane="topRight" activeCell="C1" sqref="C1"/>
      <selection pane="bottomLeft" activeCell="A2" sqref="A2"/>
      <selection pane="bottomRight" activeCell="A62" sqref="A62"/>
    </sheetView>
    <sheetView topLeftCell="J1" workbookViewId="1">
      <selection activeCell="Q1" sqref="M1:Q1048576"/>
    </sheetView>
  </sheetViews>
  <sheetFormatPr defaultRowHeight="15" x14ac:dyDescent="0.25"/>
  <cols>
    <col min="1" max="1" width="13.7109375" customWidth="1"/>
    <col min="4" max="5" width="29" customWidth="1"/>
    <col min="6" max="6" width="53.5703125" customWidth="1"/>
    <col min="8" max="8" width="26.140625" customWidth="1"/>
    <col min="10" max="10" width="41.140625" customWidth="1"/>
    <col min="11" max="12" width="36.140625" customWidth="1"/>
    <col min="13" max="13" width="2" bestFit="1" customWidth="1"/>
    <col min="14" max="14" width="80.5703125" style="26" bestFit="1" customWidth="1"/>
    <col min="15" max="15" width="2" bestFit="1" customWidth="1"/>
    <col min="16" max="16" width="53.28515625" customWidth="1"/>
    <col min="17" max="17" width="2" customWidth="1"/>
    <col min="18" max="18" width="6.28515625" bestFit="1" customWidth="1"/>
    <col min="23" max="23" width="57.28515625" bestFit="1" customWidth="1"/>
  </cols>
  <sheetData>
    <row r="1" spans="1:25" ht="72.75" thickBot="1" x14ac:dyDescent="0.35">
      <c r="B1" s="16" t="s">
        <v>398</v>
      </c>
      <c r="C1" s="16" t="s">
        <v>399</v>
      </c>
      <c r="D1" s="16" t="s">
        <v>400</v>
      </c>
      <c r="E1" s="16" t="s">
        <v>401</v>
      </c>
      <c r="F1" s="16" t="s">
        <v>402</v>
      </c>
      <c r="G1" s="16" t="s">
        <v>403</v>
      </c>
      <c r="H1" s="16" t="s">
        <v>404</v>
      </c>
      <c r="I1" s="16"/>
      <c r="J1" s="16" t="s">
        <v>405</v>
      </c>
      <c r="M1" s="11" t="s">
        <v>992</v>
      </c>
      <c r="N1" s="34" t="s">
        <v>996</v>
      </c>
      <c r="O1" s="33" t="s">
        <v>992</v>
      </c>
      <c r="P1" s="33" t="s">
        <v>285</v>
      </c>
      <c r="Q1" s="11" t="s">
        <v>992</v>
      </c>
      <c r="R1" s="27" t="s">
        <v>578</v>
      </c>
      <c r="S1" s="33" t="s">
        <v>992</v>
      </c>
      <c r="T1" s="11"/>
      <c r="U1" s="11"/>
      <c r="V1" t="s">
        <v>285</v>
      </c>
      <c r="X1" t="s">
        <v>578</v>
      </c>
    </row>
    <row r="2" spans="1:25" ht="18.75" thickBot="1" x14ac:dyDescent="0.35">
      <c r="B2" s="16"/>
      <c r="C2" s="16"/>
      <c r="D2" s="16"/>
      <c r="E2" s="16"/>
      <c r="F2" s="16"/>
      <c r="G2" s="16"/>
      <c r="H2" s="16"/>
      <c r="I2" s="16"/>
      <c r="J2" s="16"/>
      <c r="M2" s="11" t="s">
        <v>997</v>
      </c>
      <c r="N2" s="35" t="s">
        <v>998</v>
      </c>
      <c r="O2" s="11" t="s">
        <v>992</v>
      </c>
      <c r="P2" s="35" t="s">
        <v>998</v>
      </c>
      <c r="Q2" s="11" t="s">
        <v>992</v>
      </c>
      <c r="R2" s="35" t="s">
        <v>998</v>
      </c>
      <c r="S2" s="33"/>
      <c r="T2" s="11"/>
      <c r="U2" s="11"/>
    </row>
    <row r="3" spans="1:25" ht="36.75" thickBot="1" x14ac:dyDescent="0.3">
      <c r="A3" s="16" t="s">
        <v>431</v>
      </c>
      <c r="B3" s="17">
        <v>1</v>
      </c>
      <c r="C3" s="18"/>
      <c r="D3" s="18"/>
      <c r="E3" s="17" t="s">
        <v>406</v>
      </c>
      <c r="F3" s="17" t="s">
        <v>407</v>
      </c>
      <c r="G3" s="17">
        <v>1</v>
      </c>
      <c r="H3" s="17" t="s">
        <v>408</v>
      </c>
      <c r="I3" s="17"/>
      <c r="J3" s="18"/>
      <c r="K3" s="17" t="s">
        <v>392</v>
      </c>
      <c r="M3" s="11" t="s">
        <v>992</v>
      </c>
      <c r="N3" s="26" t="s">
        <v>991</v>
      </c>
      <c r="O3" s="11" t="s">
        <v>992</v>
      </c>
      <c r="P3" s="11" t="str">
        <f>T(W3)</f>
        <v/>
      </c>
      <c r="Q3" s="11" t="s">
        <v>992</v>
      </c>
      <c r="R3" s="11" t="str">
        <f>T(Y3)</f>
        <v/>
      </c>
      <c r="S3" s="11" t="s">
        <v>992</v>
      </c>
      <c r="T3" s="11"/>
      <c r="U3" s="11"/>
      <c r="X3" t="str">
        <f>IF(LEN(V3)&gt;0,_xlfn.XLOOKUP(V3,FHIR!A:A,FHIR!M:M,""),"")</f>
        <v/>
      </c>
      <c r="Y3" t="str">
        <f>_xlfn.XLOOKUP(X3,XtEHR!A:A,XtEHR!I:I,"")</f>
        <v/>
      </c>
    </row>
    <row r="4" spans="1:25" ht="36.75" thickBot="1" x14ac:dyDescent="0.3">
      <c r="A4" s="16" t="s">
        <v>431</v>
      </c>
      <c r="B4" s="17">
        <v>2</v>
      </c>
      <c r="C4" s="17" t="s">
        <v>409</v>
      </c>
      <c r="D4" s="17" t="s">
        <v>410</v>
      </c>
      <c r="E4" s="17" t="s">
        <v>411</v>
      </c>
      <c r="F4" s="17" t="s">
        <v>412</v>
      </c>
      <c r="G4" s="17" t="s">
        <v>413</v>
      </c>
      <c r="H4" s="17" t="s">
        <v>414</v>
      </c>
      <c r="I4" s="17"/>
      <c r="J4" s="18"/>
      <c r="K4" s="18"/>
      <c r="M4" s="11" t="s">
        <v>992</v>
      </c>
      <c r="N4" s="26" t="str">
        <f t="shared" ref="N4:N67" si="0">"SR-"&amp;A4&amp;":"&amp;B4&amp;F4</f>
        <v>SR-TID2010:2EV (113011, DCM, "Document Title Modifier")</v>
      </c>
      <c r="O4" s="11" t="s">
        <v>992</v>
      </c>
      <c r="P4" s="11" t="str">
        <f t="shared" ref="P4:P67" si="1">T(W4)</f>
        <v/>
      </c>
      <c r="Q4" s="11" t="s">
        <v>992</v>
      </c>
      <c r="R4" s="11" t="str">
        <f t="shared" ref="R4:R67" si="2">T(Y4)</f>
        <v/>
      </c>
      <c r="S4" s="11" t="s">
        <v>992</v>
      </c>
      <c r="X4" t="str">
        <f>IF(LEN(V4)&gt;0,_xlfn.XLOOKUP(V4,FHIR!A:A,FHIR!M:M,""),"")</f>
        <v/>
      </c>
      <c r="Y4" t="str">
        <f>_xlfn.XLOOKUP(X4,XtEHR!A:A,XtEHR!I:I,"")</f>
        <v/>
      </c>
    </row>
    <row r="5" spans="1:25" ht="72.75" thickBot="1" x14ac:dyDescent="0.3">
      <c r="A5" s="16" t="s">
        <v>431</v>
      </c>
      <c r="B5" s="17">
        <v>3</v>
      </c>
      <c r="C5" s="17" t="s">
        <v>409</v>
      </c>
      <c r="D5" s="17" t="s">
        <v>410</v>
      </c>
      <c r="E5" s="17" t="s">
        <v>411</v>
      </c>
      <c r="F5" s="17" t="s">
        <v>412</v>
      </c>
      <c r="G5" s="17">
        <v>1</v>
      </c>
      <c r="H5" s="17" t="s">
        <v>415</v>
      </c>
      <c r="I5" s="17"/>
      <c r="J5" s="17" t="s">
        <v>416</v>
      </c>
      <c r="K5" s="17" t="s">
        <v>417</v>
      </c>
      <c r="M5" s="11" t="s">
        <v>992</v>
      </c>
      <c r="N5" s="26" t="str">
        <f t="shared" si="0"/>
        <v>SR-TID2010:3EV (113011, DCM, "Document Title Modifier")</v>
      </c>
      <c r="O5" s="11" t="s">
        <v>992</v>
      </c>
      <c r="P5" s="11" t="str">
        <f t="shared" si="1"/>
        <v/>
      </c>
      <c r="Q5" s="11" t="s">
        <v>992</v>
      </c>
      <c r="R5" s="11" t="str">
        <f t="shared" si="2"/>
        <v/>
      </c>
      <c r="S5" s="11" t="s">
        <v>992</v>
      </c>
      <c r="X5" t="str">
        <f>IF(LEN(V5)&gt;0,_xlfn.XLOOKUP(V5,FHIR!A:A,FHIR!M:M,""),"")</f>
        <v/>
      </c>
      <c r="Y5" t="str">
        <f>_xlfn.XLOOKUP(X5,XtEHR!A:A,XtEHR!I:I,"")</f>
        <v/>
      </c>
    </row>
    <row r="6" spans="1:25" ht="36.75" thickBot="1" x14ac:dyDescent="0.3">
      <c r="A6" s="16" t="s">
        <v>431</v>
      </c>
      <c r="B6" s="17">
        <v>4</v>
      </c>
      <c r="C6" s="17" t="s">
        <v>409</v>
      </c>
      <c r="D6" s="17" t="s">
        <v>410</v>
      </c>
      <c r="E6" s="17" t="s">
        <v>411</v>
      </c>
      <c r="F6" s="17" t="s">
        <v>412</v>
      </c>
      <c r="G6" s="17">
        <v>1</v>
      </c>
      <c r="H6" s="17" t="s">
        <v>418</v>
      </c>
      <c r="I6" s="17"/>
      <c r="J6" s="17" t="s">
        <v>419</v>
      </c>
      <c r="K6" s="17" t="s">
        <v>420</v>
      </c>
      <c r="M6" s="11" t="s">
        <v>992</v>
      </c>
      <c r="N6" s="26" t="str">
        <f t="shared" si="0"/>
        <v>SR-TID2010:4EV (113011, DCM, "Document Title Modifier")</v>
      </c>
      <c r="O6" s="11" t="s">
        <v>992</v>
      </c>
      <c r="P6" s="11" t="str">
        <f t="shared" si="1"/>
        <v/>
      </c>
      <c r="Q6" s="11" t="s">
        <v>992</v>
      </c>
      <c r="R6" s="11" t="str">
        <f t="shared" si="2"/>
        <v/>
      </c>
      <c r="S6" s="11" t="s">
        <v>992</v>
      </c>
      <c r="X6" t="str">
        <f>IF(LEN(V6)&gt;0,_xlfn.XLOOKUP(V6,FHIR!A:A,FHIR!M:M,""),"")</f>
        <v/>
      </c>
      <c r="Y6" t="str">
        <f>_xlfn.XLOOKUP(X6,XtEHR!A:A,XtEHR!I:I,"")</f>
        <v/>
      </c>
    </row>
    <row r="7" spans="1:25" ht="36.75" thickBot="1" x14ac:dyDescent="0.3">
      <c r="A7" s="16" t="s">
        <v>431</v>
      </c>
      <c r="B7" s="17">
        <v>5</v>
      </c>
      <c r="C7" s="17" t="s">
        <v>409</v>
      </c>
      <c r="D7" s="17" t="s">
        <v>410</v>
      </c>
      <c r="E7" s="17" t="s">
        <v>421</v>
      </c>
      <c r="F7" s="17" t="s">
        <v>422</v>
      </c>
      <c r="G7" s="17">
        <v>1</v>
      </c>
      <c r="H7" s="17" t="s">
        <v>414</v>
      </c>
      <c r="I7" s="17"/>
      <c r="J7" s="18"/>
      <c r="K7" s="18"/>
      <c r="M7" s="11" t="s">
        <v>992</v>
      </c>
      <c r="N7" s="26" t="str">
        <f t="shared" si="0"/>
        <v>SR-TID2010:5DTID 1204 “Language of Content Item and Descendants”</v>
      </c>
      <c r="O7" s="11" t="s">
        <v>992</v>
      </c>
      <c r="P7" s="11" t="str">
        <f t="shared" si="1"/>
        <v/>
      </c>
      <c r="Q7" s="11" t="s">
        <v>992</v>
      </c>
      <c r="R7" s="11" t="str">
        <f t="shared" si="2"/>
        <v/>
      </c>
      <c r="S7" s="11" t="s">
        <v>992</v>
      </c>
      <c r="X7" t="str">
        <f>IF(LEN(V7)&gt;0,_xlfn.XLOOKUP(V7,FHIR!A:A,FHIR!M:M,""),"")</f>
        <v/>
      </c>
      <c r="Y7" t="str">
        <f>_xlfn.XLOOKUP(X7,XtEHR!A:A,XtEHR!I:I,"")</f>
        <v/>
      </c>
    </row>
    <row r="8" spans="1:25" ht="18.75" thickBot="1" x14ac:dyDescent="0.3">
      <c r="A8" s="16" t="s">
        <v>431</v>
      </c>
      <c r="B8" s="17">
        <v>6</v>
      </c>
      <c r="C8" s="17" t="s">
        <v>409</v>
      </c>
      <c r="D8" s="17" t="s">
        <v>423</v>
      </c>
      <c r="E8" s="17" t="s">
        <v>421</v>
      </c>
      <c r="F8" s="17" t="s">
        <v>424</v>
      </c>
      <c r="G8" s="17" t="s">
        <v>413</v>
      </c>
      <c r="H8" s="17" t="s">
        <v>414</v>
      </c>
      <c r="I8" s="17"/>
      <c r="J8" s="18"/>
      <c r="K8" s="18"/>
      <c r="M8" s="11" t="s">
        <v>992</v>
      </c>
      <c r="N8" s="26" t="str">
        <f t="shared" si="0"/>
        <v>SR-TID2010:6DTID 1002 “Observer Context”</v>
      </c>
      <c r="O8" s="11" t="s">
        <v>992</v>
      </c>
      <c r="P8" s="11" t="str">
        <f t="shared" si="1"/>
        <v/>
      </c>
      <c r="Q8" s="11" t="s">
        <v>992</v>
      </c>
      <c r="R8" s="11" t="str">
        <f t="shared" si="2"/>
        <v/>
      </c>
      <c r="S8" s="11" t="s">
        <v>992</v>
      </c>
      <c r="X8" t="str">
        <f>IF(LEN(V8)&gt;0,_xlfn.XLOOKUP(V8,FHIR!A:A,FHIR!M:M,""),"")</f>
        <v/>
      </c>
      <c r="Y8" t="str">
        <f>_xlfn.XLOOKUP(X8,XtEHR!A:A,XtEHR!I:I,"")</f>
        <v/>
      </c>
    </row>
    <row r="9" spans="1:25" ht="36.75" thickBot="1" x14ac:dyDescent="0.3">
      <c r="A9" s="16" t="s">
        <v>431</v>
      </c>
      <c r="B9" s="17">
        <v>7</v>
      </c>
      <c r="C9" s="17" t="s">
        <v>409</v>
      </c>
      <c r="D9" s="17" t="s">
        <v>425</v>
      </c>
      <c r="E9" s="17" t="s">
        <v>426</v>
      </c>
      <c r="F9" s="17" t="s">
        <v>427</v>
      </c>
      <c r="G9" s="17">
        <v>1</v>
      </c>
      <c r="H9" s="17" t="s">
        <v>414</v>
      </c>
      <c r="I9" s="17"/>
      <c r="J9" s="18"/>
      <c r="K9" s="18"/>
      <c r="M9" s="11" t="s">
        <v>992</v>
      </c>
      <c r="N9" s="26" t="str">
        <f t="shared" si="0"/>
        <v>SR-TID2010:7EV (113012, DCM, "Key Object Description")</v>
      </c>
      <c r="O9" s="11" t="s">
        <v>992</v>
      </c>
      <c r="P9" s="11" t="str">
        <f t="shared" si="1"/>
        <v/>
      </c>
      <c r="Q9" s="11" t="s">
        <v>992</v>
      </c>
      <c r="R9" s="11" t="str">
        <f t="shared" si="2"/>
        <v/>
      </c>
      <c r="S9" s="11" t="s">
        <v>992</v>
      </c>
      <c r="X9" t="str">
        <f>IF(LEN(V9)&gt;0,_xlfn.XLOOKUP(V9,FHIR!A:A,FHIR!M:M,""),"")</f>
        <v/>
      </c>
      <c r="Y9" t="str">
        <f>_xlfn.XLOOKUP(X9,XtEHR!A:A,XtEHR!I:I,"")</f>
        <v/>
      </c>
    </row>
    <row r="10" spans="1:25" ht="36.75" thickBot="1" x14ac:dyDescent="0.3">
      <c r="A10" s="16" t="s">
        <v>431</v>
      </c>
      <c r="B10" s="17">
        <v>8</v>
      </c>
      <c r="C10" s="17" t="s">
        <v>409</v>
      </c>
      <c r="D10" s="17" t="s">
        <v>425</v>
      </c>
      <c r="E10" s="17" t="s">
        <v>393</v>
      </c>
      <c r="F10" s="18"/>
      <c r="G10" s="17" t="s">
        <v>413</v>
      </c>
      <c r="H10" s="17" t="s">
        <v>418</v>
      </c>
      <c r="I10" s="17"/>
      <c r="J10" s="17" t="s">
        <v>428</v>
      </c>
      <c r="K10" s="18"/>
      <c r="L10" s="19" t="s">
        <v>439</v>
      </c>
      <c r="M10" s="11" t="s">
        <v>992</v>
      </c>
      <c r="N10" s="26" t="str">
        <f t="shared" si="0"/>
        <v>SR-TID2010:8</v>
      </c>
      <c r="O10" s="11" t="s">
        <v>992</v>
      </c>
      <c r="P10" s="11" t="str">
        <f t="shared" si="1"/>
        <v>ImagingStudy.series.instance.extension[representative]</v>
      </c>
      <c r="Q10" s="11" t="s">
        <v>992</v>
      </c>
      <c r="R10" s="11" t="str">
        <f t="shared" si="2"/>
        <v/>
      </c>
      <c r="S10" s="11" t="s">
        <v>992</v>
      </c>
      <c r="V10" t="s">
        <v>917</v>
      </c>
      <c r="W10" t="str">
        <f>_xlfn.XLOOKUP(V10,FHIR!A:A,FHIR!E:E)</f>
        <v>ImagingStudy.series.instance.extension[representative]</v>
      </c>
      <c r="X10" s="11" t="s">
        <v>990</v>
      </c>
      <c r="Y10" t="str">
        <f>_xlfn.XLOOKUP(X10,XtEHR!A:A,XtEHR!I:I,"")</f>
        <v/>
      </c>
    </row>
    <row r="11" spans="1:25" ht="36.75" thickBot="1" x14ac:dyDescent="0.3">
      <c r="A11" s="16" t="s">
        <v>431</v>
      </c>
      <c r="B11" s="17">
        <v>9</v>
      </c>
      <c r="C11" s="17" t="s">
        <v>409</v>
      </c>
      <c r="D11" s="17" t="s">
        <v>425</v>
      </c>
      <c r="E11" s="17" t="s">
        <v>429</v>
      </c>
      <c r="F11" s="18"/>
      <c r="G11" s="17" t="s">
        <v>413</v>
      </c>
      <c r="H11" s="17" t="s">
        <v>418</v>
      </c>
      <c r="I11" s="17"/>
      <c r="J11" s="17" t="s">
        <v>428</v>
      </c>
      <c r="K11" s="18"/>
      <c r="L11" s="19" t="s">
        <v>439</v>
      </c>
      <c r="M11" s="11" t="s">
        <v>992</v>
      </c>
      <c r="N11" s="26" t="str">
        <f t="shared" si="0"/>
        <v>SR-TID2010:9</v>
      </c>
      <c r="O11" s="11" t="s">
        <v>992</v>
      </c>
      <c r="P11" s="11" t="str">
        <f t="shared" si="1"/>
        <v>ImagingStudy.series.instance.extension[representative]</v>
      </c>
      <c r="Q11" s="11" t="s">
        <v>992</v>
      </c>
      <c r="R11" s="11" t="str">
        <f t="shared" si="2"/>
        <v/>
      </c>
      <c r="S11" s="11" t="s">
        <v>992</v>
      </c>
      <c r="V11" t="s">
        <v>917</v>
      </c>
      <c r="W11" t="str">
        <f>_xlfn.XLOOKUP(V11,FHIR!A:A,FHIR!E:E)</f>
        <v>ImagingStudy.series.instance.extension[representative]</v>
      </c>
      <c r="X11" s="11" t="s">
        <v>990</v>
      </c>
      <c r="Y11" t="str">
        <f>_xlfn.XLOOKUP(X11,XtEHR!A:A,XtEHR!I:I,"")</f>
        <v/>
      </c>
    </row>
    <row r="12" spans="1:25" ht="36.75" thickBot="1" x14ac:dyDescent="0.3">
      <c r="A12" s="16" t="s">
        <v>431</v>
      </c>
      <c r="B12" s="17">
        <v>10</v>
      </c>
      <c r="C12" s="17" t="s">
        <v>409</v>
      </c>
      <c r="D12" s="17" t="s">
        <v>425</v>
      </c>
      <c r="E12" s="17" t="s">
        <v>430</v>
      </c>
      <c r="F12" s="18"/>
      <c r="G12" s="17" t="s">
        <v>413</v>
      </c>
      <c r="H12" s="17" t="s">
        <v>418</v>
      </c>
      <c r="I12" s="17"/>
      <c r="J12" s="17" t="s">
        <v>428</v>
      </c>
      <c r="K12" s="18"/>
      <c r="L12" s="19" t="s">
        <v>439</v>
      </c>
      <c r="M12" s="11" t="s">
        <v>992</v>
      </c>
      <c r="N12" s="26" t="str">
        <f t="shared" si="0"/>
        <v>SR-TID2010:10</v>
      </c>
      <c r="O12" s="11" t="s">
        <v>992</v>
      </c>
      <c r="P12" s="11" t="str">
        <f t="shared" si="1"/>
        <v>ImagingStudy.series.instance.extension[representative]</v>
      </c>
      <c r="Q12" s="11" t="s">
        <v>992</v>
      </c>
      <c r="R12" s="11" t="str">
        <f t="shared" si="2"/>
        <v/>
      </c>
      <c r="S12" s="11" t="s">
        <v>992</v>
      </c>
      <c r="V12" t="s">
        <v>917</v>
      </c>
      <c r="W12" t="str">
        <f>_xlfn.XLOOKUP(V12,FHIR!A:A,FHIR!E:E)</f>
        <v>ImagingStudy.series.instance.extension[representative]</v>
      </c>
      <c r="X12" s="11" t="s">
        <v>990</v>
      </c>
      <c r="Y12" t="str">
        <f>_xlfn.XLOOKUP(X12,XtEHR!A:A,XtEHR!I:I,"")</f>
        <v/>
      </c>
    </row>
    <row r="13" spans="1:25" ht="18.75" thickBot="1" x14ac:dyDescent="0.3">
      <c r="A13" s="16" t="s">
        <v>431</v>
      </c>
      <c r="B13" s="19">
        <v>11</v>
      </c>
      <c r="C13" s="19" t="s">
        <v>409</v>
      </c>
      <c r="D13" s="17" t="s">
        <v>425</v>
      </c>
      <c r="E13" s="17" t="s">
        <v>406</v>
      </c>
      <c r="F13" s="19" t="s">
        <v>432</v>
      </c>
      <c r="G13">
        <v>1</v>
      </c>
      <c r="M13" s="11" t="s">
        <v>992</v>
      </c>
      <c r="N13" s="26" t="str">
        <f t="shared" si="0"/>
        <v>SR-TID2010:11TID1600 (111028, DCM, "Image Library")</v>
      </c>
      <c r="O13" s="11" t="s">
        <v>992</v>
      </c>
      <c r="P13" s="11" t="str">
        <f t="shared" si="1"/>
        <v>--------</v>
      </c>
      <c r="Q13" s="11" t="s">
        <v>992</v>
      </c>
      <c r="R13" s="11" t="str">
        <f t="shared" si="2"/>
        <v/>
      </c>
      <c r="S13" s="11" t="s">
        <v>992</v>
      </c>
      <c r="W13" t="str">
        <f>_xlfn.XLOOKUP(V13,FHIR!A:A,FHIR!E:E)</f>
        <v>--------</v>
      </c>
      <c r="X13" t="str">
        <f>IF(LEN(V13)&gt;0,_xlfn.XLOOKUP(V13,FHIR!A:A,FHIR!M:M,""),"")</f>
        <v/>
      </c>
      <c r="Y13" t="str">
        <f>_xlfn.XLOOKUP(X13,XtEHR!A:A,XtEHR!I:I,"")</f>
        <v/>
      </c>
    </row>
    <row r="14" spans="1:25" ht="15.75" thickBot="1" x14ac:dyDescent="0.3">
      <c r="M14" s="11" t="s">
        <v>992</v>
      </c>
      <c r="N14" s="26" t="str">
        <f t="shared" si="0"/>
        <v>SR-:</v>
      </c>
      <c r="O14" s="11" t="s">
        <v>992</v>
      </c>
      <c r="P14" s="11" t="str">
        <f t="shared" si="1"/>
        <v>--------</v>
      </c>
      <c r="Q14" s="11" t="s">
        <v>992</v>
      </c>
      <c r="R14" s="11" t="str">
        <f t="shared" si="2"/>
        <v/>
      </c>
      <c r="S14" s="11" t="s">
        <v>992</v>
      </c>
      <c r="W14" t="str">
        <f>_xlfn.XLOOKUP(V14,FHIR!A:A,FHIR!E:E)</f>
        <v>--------</v>
      </c>
      <c r="X14" t="str">
        <f>IF(LEN(V14)&gt;0,_xlfn.XLOOKUP(V14,FHIR!A:A,FHIR!M:M,""),"")</f>
        <v/>
      </c>
      <c r="Y14" t="str">
        <f>_xlfn.XLOOKUP(X14,XtEHR!A:A,XtEHR!I:I,"")</f>
        <v/>
      </c>
    </row>
    <row r="15" spans="1:25" ht="72.75" thickBot="1" x14ac:dyDescent="0.3">
      <c r="A15" s="16" t="s">
        <v>397</v>
      </c>
      <c r="B15" s="16" t="s">
        <v>398</v>
      </c>
      <c r="C15" s="16" t="s">
        <v>399</v>
      </c>
      <c r="D15" s="16" t="s">
        <v>400</v>
      </c>
      <c r="E15" s="16" t="s">
        <v>401</v>
      </c>
      <c r="F15" s="16" t="s">
        <v>402</v>
      </c>
      <c r="G15" s="16" t="s">
        <v>403</v>
      </c>
      <c r="H15" s="16" t="s">
        <v>404</v>
      </c>
      <c r="I15" s="16"/>
      <c r="J15" s="16" t="s">
        <v>405</v>
      </c>
      <c r="M15" s="11" t="s">
        <v>992</v>
      </c>
      <c r="N15" s="26" t="str">
        <f t="shared" si="0"/>
        <v>SR-TID1600:NLVM</v>
      </c>
      <c r="O15" s="11" t="s">
        <v>992</v>
      </c>
      <c r="P15" s="11" t="str">
        <f t="shared" si="1"/>
        <v>--------</v>
      </c>
      <c r="Q15" s="11" t="s">
        <v>992</v>
      </c>
      <c r="R15" s="11" t="str">
        <f t="shared" si="2"/>
        <v/>
      </c>
      <c r="S15" s="11" t="s">
        <v>992</v>
      </c>
      <c r="W15" t="str">
        <f>_xlfn.XLOOKUP(V15,FHIR!A:A,FHIR!E:E)</f>
        <v>--------</v>
      </c>
      <c r="X15" t="str">
        <f>IF(LEN(V15)&gt;0,_xlfn.XLOOKUP(V15,FHIR!A:A,FHIR!M:M,""),"")</f>
        <v/>
      </c>
      <c r="Y15" t="str">
        <f>_xlfn.XLOOKUP(X15,XtEHR!A:A,XtEHR!I:I,"")</f>
        <v/>
      </c>
    </row>
    <row r="16" spans="1:25" ht="18.75" thickBot="1" x14ac:dyDescent="0.3">
      <c r="A16" s="16" t="s">
        <v>397</v>
      </c>
      <c r="B16" s="17">
        <v>1</v>
      </c>
      <c r="C16" s="18"/>
      <c r="D16" s="18"/>
      <c r="E16" s="17" t="s">
        <v>406</v>
      </c>
      <c r="F16" s="17" t="s">
        <v>433</v>
      </c>
      <c r="G16" s="17">
        <v>1</v>
      </c>
      <c r="H16" s="17" t="s">
        <v>408</v>
      </c>
      <c r="I16" s="17"/>
      <c r="J16" s="18"/>
      <c r="K16" s="18"/>
      <c r="M16" s="11" t="s">
        <v>992</v>
      </c>
      <c r="N16" s="26" t="str">
        <f t="shared" si="0"/>
        <v>SR-TID1600:1EV (111028, DCM, "Image Library")</v>
      </c>
      <c r="O16" s="11" t="s">
        <v>992</v>
      </c>
      <c r="P16" s="11" t="str">
        <f t="shared" si="1"/>
        <v>--------</v>
      </c>
      <c r="Q16" s="11" t="s">
        <v>992</v>
      </c>
      <c r="R16" s="11" t="str">
        <f t="shared" si="2"/>
        <v/>
      </c>
      <c r="S16" s="11" t="s">
        <v>992</v>
      </c>
      <c r="W16" t="str">
        <f>_xlfn.XLOOKUP(V16,FHIR!A:A,FHIR!E:E)</f>
        <v>--------</v>
      </c>
      <c r="X16" t="str">
        <f>IF(LEN(V16)&gt;0,_xlfn.XLOOKUP(V16,FHIR!A:A,FHIR!M:M,""),"")</f>
        <v/>
      </c>
      <c r="Y16" t="str">
        <f>_xlfn.XLOOKUP(X16,XtEHR!A:A,XtEHR!I:I,"")</f>
        <v/>
      </c>
    </row>
    <row r="17" spans="1:25" ht="36.75" thickBot="1" x14ac:dyDescent="0.3">
      <c r="A17" s="16" t="s">
        <v>397</v>
      </c>
      <c r="B17" s="17">
        <v>2</v>
      </c>
      <c r="C17" s="17" t="s">
        <v>409</v>
      </c>
      <c r="D17" s="17" t="s">
        <v>425</v>
      </c>
      <c r="E17" s="17" t="s">
        <v>406</v>
      </c>
      <c r="F17" s="17" t="s">
        <v>434</v>
      </c>
      <c r="G17" s="17" t="s">
        <v>413</v>
      </c>
      <c r="H17" s="17" t="s">
        <v>414</v>
      </c>
      <c r="I17" s="17"/>
      <c r="J17" s="18"/>
      <c r="K17" s="18"/>
      <c r="M17" s="11" t="s">
        <v>992</v>
      </c>
      <c r="N17" s="26" t="str">
        <f t="shared" si="0"/>
        <v>SR-TID1600:2EV (126200, DCM, "Image Library Group")</v>
      </c>
      <c r="O17" s="11" t="s">
        <v>992</v>
      </c>
      <c r="P17" s="11" t="str">
        <f t="shared" si="1"/>
        <v>--------</v>
      </c>
      <c r="Q17" s="11" t="s">
        <v>992</v>
      </c>
      <c r="R17" s="11" t="str">
        <f t="shared" si="2"/>
        <v/>
      </c>
      <c r="S17" s="11" t="s">
        <v>992</v>
      </c>
      <c r="W17" t="str">
        <f>_xlfn.XLOOKUP(V17,FHIR!A:A,FHIR!E:E)</f>
        <v>--------</v>
      </c>
      <c r="X17" t="str">
        <f>IF(LEN(V17)&gt;0,_xlfn.XLOOKUP(V17,FHIR!A:A,FHIR!M:M,""),"")</f>
        <v/>
      </c>
      <c r="Y17" t="str">
        <f>_xlfn.XLOOKUP(X17,XtEHR!A:A,XtEHR!I:I,"")</f>
        <v/>
      </c>
    </row>
    <row r="18" spans="1:25" ht="36.75" thickBot="1" x14ac:dyDescent="0.3">
      <c r="A18" s="16" t="s">
        <v>397</v>
      </c>
      <c r="B18" s="17">
        <v>3</v>
      </c>
      <c r="C18" s="17" t="s">
        <v>435</v>
      </c>
      <c r="D18" s="17" t="s">
        <v>436</v>
      </c>
      <c r="E18" s="17" t="s">
        <v>421</v>
      </c>
      <c r="F18" s="17" t="s">
        <v>437</v>
      </c>
      <c r="G18" s="17">
        <v>1</v>
      </c>
      <c r="H18" s="17" t="s">
        <v>414</v>
      </c>
      <c r="I18" s="17"/>
      <c r="J18" s="18"/>
      <c r="K18" s="18"/>
      <c r="M18" s="11" t="s">
        <v>992</v>
      </c>
      <c r="N18" s="26" t="str">
        <f t="shared" si="0"/>
        <v>SR-TID1600:3DTID 1602 “Image Library Entry Descriptors”</v>
      </c>
      <c r="O18" s="11" t="s">
        <v>992</v>
      </c>
      <c r="P18" s="11" t="str">
        <f t="shared" si="1"/>
        <v>--------</v>
      </c>
      <c r="Q18" s="11" t="s">
        <v>992</v>
      </c>
      <c r="R18" s="11" t="str">
        <f t="shared" si="2"/>
        <v/>
      </c>
      <c r="S18" s="11" t="s">
        <v>992</v>
      </c>
      <c r="W18" t="str">
        <f>_xlfn.XLOOKUP(V18,FHIR!A:A,FHIR!E:E)</f>
        <v>--------</v>
      </c>
      <c r="X18" t="str">
        <f>IF(LEN(V18)&gt;0,_xlfn.XLOOKUP(V18,FHIR!A:A,FHIR!M:M,""),"")</f>
        <v/>
      </c>
      <c r="Y18" t="str">
        <f>_xlfn.XLOOKUP(X18,XtEHR!A:A,XtEHR!I:I,"")</f>
        <v/>
      </c>
    </row>
    <row r="19" spans="1:25" ht="18.75" thickBot="1" x14ac:dyDescent="0.3">
      <c r="A19" s="16" t="s">
        <v>397</v>
      </c>
      <c r="B19" s="17">
        <v>4</v>
      </c>
      <c r="C19" s="17" t="s">
        <v>435</v>
      </c>
      <c r="D19" s="17" t="s">
        <v>425</v>
      </c>
      <c r="E19" s="17" t="s">
        <v>421</v>
      </c>
      <c r="F19" s="17" t="s">
        <v>438</v>
      </c>
      <c r="G19" s="17" t="s">
        <v>413</v>
      </c>
      <c r="H19" s="17" t="s">
        <v>414</v>
      </c>
      <c r="I19" s="17"/>
      <c r="J19" s="18"/>
      <c r="K19" s="18"/>
      <c r="M19" s="11" t="s">
        <v>992</v>
      </c>
      <c r="N19" s="26" t="str">
        <f t="shared" si="0"/>
        <v>SR-TID1600:4DTID 1601 “Image Library Entry”</v>
      </c>
      <c r="O19" s="11" t="s">
        <v>992</v>
      </c>
      <c r="P19" s="11" t="str">
        <f t="shared" si="1"/>
        <v>--------</v>
      </c>
      <c r="Q19" s="11" t="s">
        <v>992</v>
      </c>
      <c r="R19" s="11" t="str">
        <f t="shared" si="2"/>
        <v/>
      </c>
      <c r="S19" s="11" t="s">
        <v>992</v>
      </c>
      <c r="W19" t="str">
        <f>_xlfn.XLOOKUP(V19,FHIR!A:A,FHIR!E:E)</f>
        <v>--------</v>
      </c>
      <c r="X19" t="str">
        <f>IF(LEN(V19)&gt;0,_xlfn.XLOOKUP(V19,FHIR!A:A,FHIR!M:M,""),"")</f>
        <v/>
      </c>
      <c r="Y19" t="str">
        <f>_xlfn.XLOOKUP(X19,XtEHR!A:A,XtEHR!I:I,"")</f>
        <v/>
      </c>
    </row>
    <row r="20" spans="1:25" ht="18.75" thickBot="1" x14ac:dyDescent="0.3">
      <c r="A20" s="16" t="s">
        <v>397</v>
      </c>
      <c r="B20" s="21"/>
      <c r="C20" s="21" t="s">
        <v>409</v>
      </c>
      <c r="D20" s="24" t="s">
        <v>436</v>
      </c>
      <c r="E20" s="24" t="s">
        <v>411</v>
      </c>
      <c r="F20" s="24" t="s">
        <v>463</v>
      </c>
      <c r="G20" s="24" t="s">
        <v>413</v>
      </c>
      <c r="H20" s="24" t="s">
        <v>288</v>
      </c>
      <c r="I20" s="24"/>
      <c r="J20" s="24"/>
      <c r="K20" s="24"/>
      <c r="M20" s="11" t="s">
        <v>992</v>
      </c>
      <c r="N20" s="26" t="str">
        <f t="shared" si="0"/>
        <v>SR-TID1600:EV (121139, DCM, "Modality")</v>
      </c>
      <c r="O20" s="11" t="s">
        <v>992</v>
      </c>
      <c r="P20" s="11" t="str">
        <f t="shared" si="1"/>
        <v>ImagingStudy.modality</v>
      </c>
      <c r="Q20" s="11" t="s">
        <v>992</v>
      </c>
      <c r="R20" s="11" t="str">
        <f t="shared" si="2"/>
        <v>EHDSImagingStudy- modality</v>
      </c>
      <c r="S20" s="11" t="s">
        <v>992</v>
      </c>
      <c r="V20" t="s">
        <v>793</v>
      </c>
      <c r="W20" t="str">
        <f>_xlfn.XLOOKUP(V20,FHIR!A:A,FHIR!E:E)</f>
        <v>ImagingStudy.modality</v>
      </c>
      <c r="X20" t="str">
        <f>IF(LEN(V20)&gt;0,_xlfn.XLOOKUP(V20,FHIR!A:A,FHIR!M:M,""),"")</f>
        <v>EHDSImagingStudy11</v>
      </c>
      <c r="Y20" t="str">
        <f>_xlfn.XLOOKUP(X20,XtEHR!A:A,XtEHR!I:I,"")</f>
        <v>EHDSImagingStudy- modality</v>
      </c>
    </row>
    <row r="21" spans="1:25" ht="18.75" thickBot="1" x14ac:dyDescent="0.3">
      <c r="A21" s="16" t="s">
        <v>397</v>
      </c>
      <c r="B21" s="21"/>
      <c r="C21" s="21" t="s">
        <v>409</v>
      </c>
      <c r="D21" s="24" t="s">
        <v>436</v>
      </c>
      <c r="E21" s="24" t="s">
        <v>464</v>
      </c>
      <c r="F21" s="24" t="s">
        <v>465</v>
      </c>
      <c r="G21" s="24">
        <v>1</v>
      </c>
      <c r="H21" s="24" t="s">
        <v>288</v>
      </c>
      <c r="I21" s="24"/>
      <c r="J21" s="24"/>
      <c r="K21" s="24"/>
      <c r="M21" s="11" t="s">
        <v>992</v>
      </c>
      <c r="N21" s="26" t="str">
        <f t="shared" si="0"/>
        <v>SR-TID1600:EV (ddd011, DCM, “Study Instance UID”)</v>
      </c>
      <c r="O21" s="11" t="s">
        <v>992</v>
      </c>
      <c r="P21" s="11" t="str">
        <f t="shared" si="1"/>
        <v>ImagingStudy.identifier[studyInstanceUid]</v>
      </c>
      <c r="Q21" s="11" t="s">
        <v>992</v>
      </c>
      <c r="R21" s="11" t="str">
        <f t="shared" si="2"/>
        <v>EHDSImagingStudy- header.identifier</v>
      </c>
      <c r="S21" s="11" t="s">
        <v>992</v>
      </c>
      <c r="V21" t="s">
        <v>790</v>
      </c>
      <c r="W21" t="str">
        <f>_xlfn.XLOOKUP(V21,FHIR!A:A,FHIR!E:E)</f>
        <v>ImagingStudy.identifier[studyInstanceUid]</v>
      </c>
      <c r="X21" t="str">
        <f>IF(LEN(V21)&gt;0,_xlfn.XLOOKUP(V21,FHIR!A:A,FHIR!M:M,""),"")</f>
        <v>EHDSImagingStudy4</v>
      </c>
      <c r="Y21" t="str">
        <f>_xlfn.XLOOKUP(X21,XtEHR!A:A,XtEHR!I:I,"")</f>
        <v>EHDSImagingStudy- header.identifier</v>
      </c>
    </row>
    <row r="22" spans="1:25" ht="108.75" thickBot="1" x14ac:dyDescent="0.3">
      <c r="A22" s="16" t="s">
        <v>397</v>
      </c>
      <c r="B22" s="21"/>
      <c r="C22" s="21" t="s">
        <v>409</v>
      </c>
      <c r="D22" s="24" t="s">
        <v>436</v>
      </c>
      <c r="E22" s="24" t="s">
        <v>411</v>
      </c>
      <c r="F22" s="24" t="s">
        <v>466</v>
      </c>
      <c r="G22" s="24" t="s">
        <v>413</v>
      </c>
      <c r="H22" s="24" t="s">
        <v>288</v>
      </c>
      <c r="I22" s="24"/>
      <c r="J22" s="24" t="s">
        <v>467</v>
      </c>
      <c r="K22" s="24" t="s">
        <v>468</v>
      </c>
      <c r="M22" s="11" t="s">
        <v>992</v>
      </c>
      <c r="N22" s="26" t="str">
        <f t="shared" si="0"/>
        <v>SR-TID1600:EV (123014, DCM, "Target Region")</v>
      </c>
      <c r="O22" s="11" t="s">
        <v>992</v>
      </c>
      <c r="P22" s="11" t="str">
        <f t="shared" si="1"/>
        <v>ImagingStudy.extension[anatomical]</v>
      </c>
      <c r="Q22" s="11" t="s">
        <v>992</v>
      </c>
      <c r="R22" s="11" t="str">
        <f t="shared" si="2"/>
        <v>EHDSImagingStudy- bodySite</v>
      </c>
      <c r="S22" s="11" t="s">
        <v>992</v>
      </c>
      <c r="V22" t="s">
        <v>794</v>
      </c>
      <c r="W22" t="str">
        <f>_xlfn.XLOOKUP(V22,FHIR!A:A,FHIR!E:E)</f>
        <v>ImagingStudy.extension[anatomical]</v>
      </c>
      <c r="X22" t="str">
        <f>IF(LEN(V22)&gt;0,_xlfn.XLOOKUP(V22,FHIR!A:A,FHIR!M:M,""),"")</f>
        <v>EHDSImagingStudy12</v>
      </c>
      <c r="Y22" t="str">
        <f>_xlfn.XLOOKUP(X22,XtEHR!A:A,XtEHR!I:I,"")</f>
        <v>EHDSImagingStudy- bodySite</v>
      </c>
    </row>
    <row r="23" spans="1:25" ht="108.75" thickBot="1" x14ac:dyDescent="0.3">
      <c r="A23" s="16" t="s">
        <v>397</v>
      </c>
      <c r="B23" s="21"/>
      <c r="C23" s="21" t="s">
        <v>409</v>
      </c>
      <c r="D23" s="24" t="s">
        <v>436</v>
      </c>
      <c r="E23" s="24" t="s">
        <v>426</v>
      </c>
      <c r="F23" s="24" t="s">
        <v>466</v>
      </c>
      <c r="G23" s="24" t="s">
        <v>413</v>
      </c>
      <c r="H23" s="24" t="s">
        <v>288</v>
      </c>
      <c r="I23" s="24"/>
      <c r="J23" s="24" t="s">
        <v>469</v>
      </c>
      <c r="K23" s="24" t="s">
        <v>470</v>
      </c>
      <c r="M23" s="11" t="s">
        <v>992</v>
      </c>
      <c r="N23" s="26" t="str">
        <f t="shared" si="0"/>
        <v>SR-TID1600:EV (123014, DCM, "Target Region")</v>
      </c>
      <c r="O23" s="11" t="s">
        <v>992</v>
      </c>
      <c r="P23" s="11" t="str">
        <f t="shared" si="1"/>
        <v>ImagingStudy.extension[anatomical].text</v>
      </c>
      <c r="Q23" s="11" t="s">
        <v>992</v>
      </c>
      <c r="R23" s="11" t="str">
        <f t="shared" si="2"/>
        <v>EHDSImagingStudy- bodySite</v>
      </c>
      <c r="S23" s="11" t="s">
        <v>992</v>
      </c>
      <c r="V23" t="s">
        <v>987</v>
      </c>
      <c r="W23" t="str">
        <f>_xlfn.XLOOKUP(V23,FHIR!A:A,FHIR!E:E)</f>
        <v>ImagingStudy.extension[anatomical].text</v>
      </c>
      <c r="X23" t="str">
        <f>IF(LEN(V23)&gt;0,_xlfn.XLOOKUP(V23,FHIR!A:A,FHIR!M:M,""),"")</f>
        <v>EHDSImagingStudy12</v>
      </c>
      <c r="Y23" t="str">
        <f>_xlfn.XLOOKUP(X23,XtEHR!A:A,XtEHR!I:I,"")</f>
        <v>EHDSImagingStudy- bodySite</v>
      </c>
    </row>
    <row r="24" spans="1:25" ht="36.75" thickBot="1" x14ac:dyDescent="0.3">
      <c r="A24" s="16" t="s">
        <v>397</v>
      </c>
      <c r="B24" s="25"/>
      <c r="C24" s="21" t="s">
        <v>409</v>
      </c>
      <c r="D24" s="24" t="s">
        <v>436</v>
      </c>
      <c r="E24" s="24" t="s">
        <v>471</v>
      </c>
      <c r="F24" s="24" t="s">
        <v>472</v>
      </c>
      <c r="G24" s="24">
        <v>1</v>
      </c>
      <c r="H24" s="24" t="s">
        <v>414</v>
      </c>
      <c r="I24" s="24"/>
      <c r="J24" s="24" t="s">
        <v>2</v>
      </c>
      <c r="K24" s="24" t="s">
        <v>473</v>
      </c>
      <c r="M24" s="11" t="s">
        <v>992</v>
      </c>
      <c r="N24" s="26" t="str">
        <f t="shared" si="0"/>
        <v>SR-TID1600:EV (ddd010, DCM, “Number of Study Related Series” </v>
      </c>
      <c r="O24" s="11" t="s">
        <v>992</v>
      </c>
      <c r="P24" s="11" t="str">
        <f t="shared" si="1"/>
        <v>ImagingStudy.series</v>
      </c>
      <c r="Q24" s="11" t="s">
        <v>992</v>
      </c>
      <c r="R24" s="11" t="str">
        <f t="shared" si="2"/>
        <v>EHDSImagingStudy- series</v>
      </c>
      <c r="S24" s="11" t="s">
        <v>992</v>
      </c>
      <c r="V24" t="s">
        <v>811</v>
      </c>
      <c r="W24" t="str">
        <f>_xlfn.XLOOKUP(V24,FHIR!A:A,FHIR!E:E)</f>
        <v>ImagingStudy.series</v>
      </c>
      <c r="X24" t="str">
        <f>IF(LEN(V24)&gt;0,_xlfn.XLOOKUP(V24,FHIR!A:A,FHIR!M:M,""),"")</f>
        <v>EHDSImagingStudy21</v>
      </c>
      <c r="Y24" t="str">
        <f>_xlfn.XLOOKUP(X24,XtEHR!A:A,XtEHR!I:I,"")</f>
        <v>EHDSImagingStudy- series</v>
      </c>
    </row>
    <row r="25" spans="1:25" x14ac:dyDescent="0.25">
      <c r="D25" s="22" t="s">
        <v>474</v>
      </c>
      <c r="M25" s="11" t="s">
        <v>992</v>
      </c>
      <c r="N25" s="26" t="str">
        <f t="shared" si="0"/>
        <v>SR-:</v>
      </c>
      <c r="O25" s="11" t="s">
        <v>992</v>
      </c>
      <c r="P25" s="11" t="str">
        <f t="shared" si="1"/>
        <v>--------</v>
      </c>
      <c r="Q25" s="11" t="s">
        <v>992</v>
      </c>
      <c r="R25" s="11" t="str">
        <f t="shared" si="2"/>
        <v/>
      </c>
      <c r="S25" s="11" t="s">
        <v>992</v>
      </c>
      <c r="W25" t="str">
        <f>_xlfn.XLOOKUP(V25,FHIR!A:A,FHIR!E:E)</f>
        <v>--------</v>
      </c>
      <c r="X25" t="str">
        <f>IF(LEN(V25)&gt;0,_xlfn.XLOOKUP(V25,FHIR!A:A,FHIR!M:M,""),"")</f>
        <v/>
      </c>
      <c r="Y25" t="str">
        <f>_xlfn.XLOOKUP(X25,XtEHR!A:A,XtEHR!I:I,"")</f>
        <v/>
      </c>
    </row>
    <row r="26" spans="1:25" ht="16.5" thickBot="1" x14ac:dyDescent="0.3">
      <c r="D26" s="23"/>
      <c r="M26" s="11" t="s">
        <v>992</v>
      </c>
      <c r="N26" s="26" t="str">
        <f t="shared" si="0"/>
        <v>SR-:</v>
      </c>
      <c r="O26" s="11" t="s">
        <v>992</v>
      </c>
      <c r="P26" s="11" t="str">
        <f t="shared" si="1"/>
        <v>--------</v>
      </c>
      <c r="Q26" s="11" t="s">
        <v>992</v>
      </c>
      <c r="R26" s="11" t="str">
        <f t="shared" si="2"/>
        <v/>
      </c>
      <c r="S26" s="11" t="s">
        <v>992</v>
      </c>
      <c r="W26" t="str">
        <f>_xlfn.XLOOKUP(V26,FHIR!A:A,FHIR!E:E)</f>
        <v>--------</v>
      </c>
      <c r="X26" t="str">
        <f>IF(LEN(V26)&gt;0,_xlfn.XLOOKUP(V26,FHIR!A:A,FHIR!M:M,""),"")</f>
        <v/>
      </c>
      <c r="Y26" t="str">
        <f>_xlfn.XLOOKUP(X26,XtEHR!A:A,XtEHR!I:I,"")</f>
        <v/>
      </c>
    </row>
    <row r="27" spans="1:25" ht="72.75" thickBot="1" x14ac:dyDescent="0.3">
      <c r="A27" s="16" t="s">
        <v>462</v>
      </c>
      <c r="B27" s="16" t="s">
        <v>398</v>
      </c>
      <c r="C27" s="16" t="s">
        <v>399</v>
      </c>
      <c r="D27" s="16" t="s">
        <v>400</v>
      </c>
      <c r="E27" s="16" t="s">
        <v>401</v>
      </c>
      <c r="F27" s="16" t="s">
        <v>402</v>
      </c>
      <c r="G27" s="16" t="s">
        <v>403</v>
      </c>
      <c r="H27" s="16" t="s">
        <v>404</v>
      </c>
      <c r="I27" s="16"/>
      <c r="J27" s="16" t="s">
        <v>405</v>
      </c>
      <c r="M27" s="11" t="s">
        <v>992</v>
      </c>
      <c r="N27" s="26" t="str">
        <f t="shared" si="0"/>
        <v>SR-TID1601:NLVM</v>
      </c>
      <c r="O27" s="11" t="s">
        <v>992</v>
      </c>
      <c r="P27" s="11" t="str">
        <f t="shared" si="1"/>
        <v>--------</v>
      </c>
      <c r="Q27" s="11" t="s">
        <v>992</v>
      </c>
      <c r="R27" s="11" t="str">
        <f t="shared" si="2"/>
        <v/>
      </c>
      <c r="S27" s="11" t="s">
        <v>992</v>
      </c>
      <c r="W27" t="str">
        <f>_xlfn.XLOOKUP(V27,FHIR!A:A,FHIR!E:E)</f>
        <v>--------</v>
      </c>
      <c r="X27" t="str">
        <f>IF(LEN(V27)&gt;0,_xlfn.XLOOKUP(V27,FHIR!A:A,FHIR!M:M,""),"")</f>
        <v/>
      </c>
      <c r="Y27" t="str">
        <f>_xlfn.XLOOKUP(X27,XtEHR!A:A,XtEHR!I:I,"")</f>
        <v/>
      </c>
    </row>
    <row r="28" spans="1:25" ht="18.75" thickBot="1" x14ac:dyDescent="0.3">
      <c r="A28" s="16" t="s">
        <v>462</v>
      </c>
      <c r="B28" s="17">
        <v>1</v>
      </c>
      <c r="C28" s="18"/>
      <c r="D28" s="18"/>
      <c r="E28" s="17" t="s">
        <v>393</v>
      </c>
      <c r="F28" s="18"/>
      <c r="G28" s="17">
        <v>1</v>
      </c>
      <c r="H28" s="17" t="s">
        <v>408</v>
      </c>
      <c r="I28" s="17"/>
      <c r="J28" s="18"/>
      <c r="K28" s="18"/>
      <c r="M28" s="11" t="s">
        <v>992</v>
      </c>
      <c r="N28" s="26" t="str">
        <f t="shared" si="0"/>
        <v>SR-TID1601:1</v>
      </c>
      <c r="O28" s="11" t="s">
        <v>992</v>
      </c>
      <c r="P28" s="11" t="str">
        <f t="shared" si="1"/>
        <v>--------</v>
      </c>
      <c r="Q28" s="11" t="s">
        <v>992</v>
      </c>
      <c r="R28" s="11" t="str">
        <f t="shared" si="2"/>
        <v/>
      </c>
      <c r="S28" s="11" t="s">
        <v>992</v>
      </c>
      <c r="W28" t="str">
        <f>_xlfn.XLOOKUP(V28,FHIR!A:A,FHIR!E:E)</f>
        <v>--------</v>
      </c>
      <c r="X28" t="str">
        <f>IF(LEN(V28)&gt;0,_xlfn.XLOOKUP(V28,FHIR!A:A,FHIR!M:M,""),"")</f>
        <v/>
      </c>
      <c r="Y28" t="str">
        <f>_xlfn.XLOOKUP(X28,XtEHR!A:A,XtEHR!I:I,"")</f>
        <v/>
      </c>
    </row>
    <row r="29" spans="1:25" ht="36.75" thickBot="1" x14ac:dyDescent="0.3">
      <c r="A29" s="16" t="s">
        <v>462</v>
      </c>
      <c r="B29" s="17">
        <v>2</v>
      </c>
      <c r="C29" s="17" t="s">
        <v>409</v>
      </c>
      <c r="D29" s="17" t="s">
        <v>436</v>
      </c>
      <c r="E29" s="17" t="s">
        <v>421</v>
      </c>
      <c r="F29" s="17" t="s">
        <v>437</v>
      </c>
      <c r="G29" s="17">
        <v>1</v>
      </c>
      <c r="H29" s="17" t="s">
        <v>414</v>
      </c>
      <c r="I29" s="17"/>
      <c r="J29" s="18"/>
      <c r="K29" s="18"/>
      <c r="M29" s="11" t="s">
        <v>992</v>
      </c>
      <c r="N29" s="26" t="str">
        <f t="shared" si="0"/>
        <v>SR-TID1601:2DTID 1602 “Image Library Entry Descriptors”</v>
      </c>
      <c r="O29" s="11" t="s">
        <v>992</v>
      </c>
      <c r="P29" s="11" t="str">
        <f t="shared" si="1"/>
        <v>--------</v>
      </c>
      <c r="Q29" s="11" t="s">
        <v>992</v>
      </c>
      <c r="R29" s="11" t="str">
        <f t="shared" si="2"/>
        <v/>
      </c>
      <c r="S29" s="11" t="s">
        <v>992</v>
      </c>
      <c r="W29" t="str">
        <f>_xlfn.XLOOKUP(V29,FHIR!A:A,FHIR!E:E)</f>
        <v>--------</v>
      </c>
      <c r="X29" t="str">
        <f>IF(LEN(V29)&gt;0,_xlfn.XLOOKUP(V29,FHIR!A:A,FHIR!M:M,""),"")</f>
        <v/>
      </c>
      <c r="Y29" t="str">
        <f>_xlfn.XLOOKUP(X29,XtEHR!A:A,XtEHR!I:I,"")</f>
        <v/>
      </c>
    </row>
    <row r="30" spans="1:25" ht="84.75" thickBot="1" x14ac:dyDescent="0.3">
      <c r="A30" s="16" t="s">
        <v>462</v>
      </c>
      <c r="B30" s="24"/>
      <c r="C30" s="24"/>
      <c r="D30" s="24" t="s">
        <v>436</v>
      </c>
      <c r="E30" s="24" t="s">
        <v>492</v>
      </c>
      <c r="F30" s="24" t="s">
        <v>521</v>
      </c>
      <c r="G30" s="24">
        <v>1</v>
      </c>
      <c r="H30" s="24" t="s">
        <v>303</v>
      </c>
      <c r="I30" s="24" t="s">
        <v>522</v>
      </c>
      <c r="J30" s="24"/>
      <c r="K30" s="24"/>
      <c r="M30" s="11" t="s">
        <v>992</v>
      </c>
      <c r="N30" s="26" t="str">
        <f t="shared" si="0"/>
        <v>SR-TID1601:EV (121140, DCM, “Number of Frames”)</v>
      </c>
      <c r="O30" s="11" t="s">
        <v>992</v>
      </c>
      <c r="P30" s="11" t="str">
        <f t="shared" si="1"/>
        <v>ImagingStudy.series.instance.extension[numberOfFrames]</v>
      </c>
      <c r="Q30" s="11" t="s">
        <v>992</v>
      </c>
      <c r="R30" s="11" t="str">
        <f t="shared" si="2"/>
        <v>EHDSImagingStudy- series.instancesInTheSeries.numberOfFrames</v>
      </c>
      <c r="S30" s="11" t="s">
        <v>992</v>
      </c>
      <c r="V30" t="s">
        <v>828</v>
      </c>
      <c r="W30" t="str">
        <f>_xlfn.XLOOKUP(V30,FHIR!A:A,FHIR!E:E)</f>
        <v>ImagingStudy.series.instance.extension[numberOfFrames]</v>
      </c>
      <c r="X30" t="str">
        <f>IF(LEN(V30)&gt;0,_xlfn.XLOOKUP(V30,FHIR!A:A,FHIR!M:M,""),"")</f>
        <v>EHDSImagingStudy36</v>
      </c>
      <c r="Y30" t="str">
        <f>_xlfn.XLOOKUP(X30,XtEHR!A:A,XtEHR!I:I,"")</f>
        <v>EHDSImagingStudy- series.instancesInTheSeries.numberOfFrames</v>
      </c>
    </row>
    <row r="31" spans="1:25" ht="108.75" thickBot="1" x14ac:dyDescent="0.3">
      <c r="A31" s="16" t="s">
        <v>462</v>
      </c>
      <c r="B31" s="24"/>
      <c r="C31" s="24"/>
      <c r="D31" s="24" t="s">
        <v>436</v>
      </c>
      <c r="E31" s="24" t="s">
        <v>426</v>
      </c>
      <c r="F31" s="24" t="s">
        <v>523</v>
      </c>
      <c r="G31" s="24">
        <v>1</v>
      </c>
      <c r="H31" s="24" t="s">
        <v>303</v>
      </c>
      <c r="I31" s="24" t="s">
        <v>524</v>
      </c>
      <c r="J31" s="24" t="s">
        <v>525</v>
      </c>
      <c r="K31" s="24"/>
      <c r="M31" s="11" t="s">
        <v>992</v>
      </c>
      <c r="N31" s="26" t="str">
        <f t="shared" si="0"/>
        <v>SR-TID1601:EV (ddd008, DCM, “Instance Number”)</v>
      </c>
      <c r="O31" s="11" t="s">
        <v>992</v>
      </c>
      <c r="P31" s="11" t="str">
        <f t="shared" si="1"/>
        <v>ImagingStudy.series.instance.number</v>
      </c>
      <c r="Q31" s="11" t="s">
        <v>992</v>
      </c>
      <c r="R31" s="11" t="str">
        <f t="shared" si="2"/>
        <v>EHDSImagingStudy- series.instancesInTheSeries.instanceNumber</v>
      </c>
      <c r="S31" s="11" t="s">
        <v>992</v>
      </c>
      <c r="V31" t="s">
        <v>826</v>
      </c>
      <c r="W31" t="str">
        <f>_xlfn.XLOOKUP(V31,FHIR!A:A,FHIR!E:E)</f>
        <v>ImagingStudy.series.instance.number</v>
      </c>
      <c r="X31" t="str">
        <f>IF(LEN(V31)&gt;0,_xlfn.XLOOKUP(V31,FHIR!A:A,FHIR!M:M,""),"")</f>
        <v>EHDSImagingStudy35</v>
      </c>
      <c r="Y31" t="str">
        <f>_xlfn.XLOOKUP(X31,XtEHR!A:A,XtEHR!I:I,"")</f>
        <v>EHDSImagingStudy- series.instancesInTheSeries.instanceNumber</v>
      </c>
    </row>
    <row r="32" spans="1:25" ht="144.75" thickBot="1" x14ac:dyDescent="0.3">
      <c r="A32" s="16" t="s">
        <v>462</v>
      </c>
      <c r="B32" s="24"/>
      <c r="C32" s="24"/>
      <c r="D32" s="24" t="s">
        <v>425</v>
      </c>
      <c r="E32" s="24" t="s">
        <v>421</v>
      </c>
      <c r="F32" s="24" t="s">
        <v>526</v>
      </c>
      <c r="G32" s="24">
        <v>1</v>
      </c>
      <c r="H32" s="24" t="s">
        <v>303</v>
      </c>
      <c r="I32" s="24" t="s">
        <v>527</v>
      </c>
      <c r="J32" s="24"/>
      <c r="K32" s="24"/>
      <c r="M32" s="11" t="s">
        <v>992</v>
      </c>
      <c r="N32" s="26" t="str">
        <f t="shared" si="0"/>
        <v>SR-TID1601:DTID 16XX Image Library Entry Descriptors for Key Object Selection</v>
      </c>
      <c r="O32" s="11" t="s">
        <v>992</v>
      </c>
      <c r="P32" s="11" t="str">
        <f t="shared" si="1"/>
        <v>--------</v>
      </c>
      <c r="Q32" s="11" t="s">
        <v>992</v>
      </c>
      <c r="R32" s="11" t="str">
        <f t="shared" si="2"/>
        <v/>
      </c>
      <c r="S32" s="11" t="s">
        <v>992</v>
      </c>
      <c r="W32" t="str">
        <f>_xlfn.XLOOKUP(V32,FHIR!A:A,FHIR!E:E)</f>
        <v>--------</v>
      </c>
      <c r="X32" t="str">
        <f>IF(LEN(V32)&gt;0,_xlfn.XLOOKUP(V32,FHIR!A:A,FHIR!M:M,""),"")</f>
        <v/>
      </c>
      <c r="Y32" t="str">
        <f>_xlfn.XLOOKUP(X32,XtEHR!A:A,XtEHR!I:I,"")</f>
        <v/>
      </c>
    </row>
    <row r="33" spans="1:25" x14ac:dyDescent="0.25">
      <c r="M33" s="11" t="s">
        <v>992</v>
      </c>
      <c r="N33" s="26" t="str">
        <f t="shared" si="0"/>
        <v>SR-:</v>
      </c>
      <c r="O33" s="11" t="s">
        <v>992</v>
      </c>
      <c r="P33" s="11" t="str">
        <f t="shared" si="1"/>
        <v>--------</v>
      </c>
      <c r="Q33" s="11" t="s">
        <v>992</v>
      </c>
      <c r="R33" s="11" t="str">
        <f t="shared" si="2"/>
        <v/>
      </c>
      <c r="S33" s="11" t="s">
        <v>992</v>
      </c>
      <c r="W33" t="str">
        <f>_xlfn.XLOOKUP(V33,FHIR!A:A,FHIR!E:E)</f>
        <v>--------</v>
      </c>
      <c r="X33" t="str">
        <f>IF(LEN(V33)&gt;0,_xlfn.XLOOKUP(V33,FHIR!A:A,FHIR!M:M,""),"")</f>
        <v/>
      </c>
      <c r="Y33" t="str">
        <f>_xlfn.XLOOKUP(X33,XtEHR!A:A,XtEHR!I:I,"")</f>
        <v/>
      </c>
    </row>
    <row r="34" spans="1:25" ht="15.75" thickBot="1" x14ac:dyDescent="0.3">
      <c r="M34" s="11" t="s">
        <v>992</v>
      </c>
      <c r="N34" s="26" t="str">
        <f t="shared" si="0"/>
        <v>SR-:</v>
      </c>
      <c r="O34" s="11" t="s">
        <v>992</v>
      </c>
      <c r="P34" s="11" t="str">
        <f t="shared" si="1"/>
        <v>--------</v>
      </c>
      <c r="Q34" s="11" t="s">
        <v>992</v>
      </c>
      <c r="R34" s="11" t="str">
        <f t="shared" si="2"/>
        <v/>
      </c>
      <c r="S34" s="11" t="s">
        <v>992</v>
      </c>
      <c r="W34" t="str">
        <f>_xlfn.XLOOKUP(V34,FHIR!A:A,FHIR!E:E)</f>
        <v>--------</v>
      </c>
      <c r="X34" t="str">
        <f>IF(LEN(V34)&gt;0,_xlfn.XLOOKUP(V34,FHIR!A:A,FHIR!M:M,""),"")</f>
        <v/>
      </c>
      <c r="Y34" t="str">
        <f>_xlfn.XLOOKUP(X34,XtEHR!A:A,XtEHR!I:I,"")</f>
        <v/>
      </c>
    </row>
    <row r="35" spans="1:25" ht="72.75" thickBot="1" x14ac:dyDescent="0.3">
      <c r="A35" s="16" t="s">
        <v>506</v>
      </c>
      <c r="B35" s="16" t="s">
        <v>398</v>
      </c>
      <c r="C35" s="16" t="s">
        <v>399</v>
      </c>
      <c r="D35" s="16" t="s">
        <v>400</v>
      </c>
      <c r="E35" s="16" t="s">
        <v>401</v>
      </c>
      <c r="F35" s="16" t="s">
        <v>402</v>
      </c>
      <c r="G35" s="16" t="s">
        <v>403</v>
      </c>
      <c r="H35" s="16" t="s">
        <v>404</v>
      </c>
      <c r="I35" s="16"/>
      <c r="J35" s="16" t="s">
        <v>405</v>
      </c>
      <c r="M35" s="11" t="s">
        <v>992</v>
      </c>
      <c r="N35" s="26" t="str">
        <f t="shared" si="0"/>
        <v>SR-TID1602:NLVM</v>
      </c>
      <c r="O35" s="11" t="s">
        <v>992</v>
      </c>
      <c r="P35" s="11" t="str">
        <f t="shared" si="1"/>
        <v>--------</v>
      </c>
      <c r="Q35" s="11" t="s">
        <v>992</v>
      </c>
      <c r="R35" s="11" t="str">
        <f t="shared" si="2"/>
        <v/>
      </c>
      <c r="S35" s="11" t="s">
        <v>992</v>
      </c>
      <c r="W35" t="str">
        <f>_xlfn.XLOOKUP(V35,FHIR!A:A,FHIR!E:E)</f>
        <v>--------</v>
      </c>
      <c r="X35" t="str">
        <f>IF(LEN(V35)&gt;0,_xlfn.XLOOKUP(V35,FHIR!A:A,FHIR!M:M,""),"")</f>
        <v/>
      </c>
      <c r="Y35" t="str">
        <f>_xlfn.XLOOKUP(X35,XtEHR!A:A,XtEHR!I:I,"")</f>
        <v/>
      </c>
    </row>
    <row r="36" spans="1:25" ht="36.75" thickBot="1" x14ac:dyDescent="0.3">
      <c r="A36" s="16" t="s">
        <v>506</v>
      </c>
      <c r="B36" s="17">
        <v>1</v>
      </c>
      <c r="C36" s="18"/>
      <c r="D36" s="17" t="s">
        <v>436</v>
      </c>
      <c r="E36" s="17" t="s">
        <v>411</v>
      </c>
      <c r="F36" s="17" t="s">
        <v>477</v>
      </c>
      <c r="G36" s="17">
        <v>1</v>
      </c>
      <c r="H36" s="17" t="s">
        <v>414</v>
      </c>
      <c r="I36" s="17" t="s">
        <v>288</v>
      </c>
      <c r="J36" s="18"/>
      <c r="K36" s="17" t="s">
        <v>478</v>
      </c>
      <c r="M36" s="11" t="s">
        <v>992</v>
      </c>
      <c r="N36" s="26" t="str">
        <f t="shared" si="0"/>
        <v>SR-TID1602:1EV (121139, DCM, "Modality")</v>
      </c>
      <c r="O36" s="11" t="s">
        <v>992</v>
      </c>
      <c r="P36" s="11" t="str">
        <f t="shared" si="1"/>
        <v>ImagingStudy.series.modality</v>
      </c>
      <c r="Q36" s="11" t="s">
        <v>992</v>
      </c>
      <c r="R36" s="11" t="str">
        <f t="shared" si="2"/>
        <v>EHDSImagingStudy- series.seriesModality</v>
      </c>
      <c r="S36" s="11" t="s">
        <v>992</v>
      </c>
      <c r="V36" t="s">
        <v>814</v>
      </c>
      <c r="W36" t="str">
        <f>_xlfn.XLOOKUP(V36,FHIR!A:A,FHIR!E:E)</f>
        <v>ImagingStudy.series.modality</v>
      </c>
      <c r="X36" t="str">
        <f>IF(LEN(V36)&gt;0,_xlfn.XLOOKUP(V36,FHIR!A:A,FHIR!M:M,""),"")</f>
        <v>EHDSImagingStudy24</v>
      </c>
      <c r="Y36" t="str">
        <f>_xlfn.XLOOKUP(X36,XtEHR!A:A,XtEHR!I:I,"")</f>
        <v>EHDSImagingStudy- series.seriesModality</v>
      </c>
    </row>
    <row r="37" spans="1:25" ht="36.75" thickBot="1" x14ac:dyDescent="0.3">
      <c r="A37" s="16" t="s">
        <v>506</v>
      </c>
      <c r="B37" s="17">
        <v>2</v>
      </c>
      <c r="C37" s="18"/>
      <c r="D37" s="17" t="s">
        <v>436</v>
      </c>
      <c r="E37" s="17" t="s">
        <v>411</v>
      </c>
      <c r="F37" s="17" t="s">
        <v>479</v>
      </c>
      <c r="G37" s="17">
        <v>1</v>
      </c>
      <c r="H37" s="17" t="s">
        <v>414</v>
      </c>
      <c r="I37" s="17"/>
      <c r="J37" s="18"/>
      <c r="K37" s="17" t="s">
        <v>480</v>
      </c>
      <c r="M37" s="11" t="s">
        <v>992</v>
      </c>
      <c r="N37" s="26" t="str">
        <f t="shared" si="0"/>
        <v>SR-TID1602:2EV (123014, DCM, "Target Region")</v>
      </c>
      <c r="O37" s="11" t="s">
        <v>992</v>
      </c>
      <c r="P37" s="11" t="str">
        <f t="shared" si="1"/>
        <v>--------</v>
      </c>
      <c r="Q37" s="11" t="s">
        <v>992</v>
      </c>
      <c r="R37" s="11" t="str">
        <f t="shared" si="2"/>
        <v/>
      </c>
      <c r="S37" s="11" t="s">
        <v>992</v>
      </c>
      <c r="W37" t="str">
        <f>_xlfn.XLOOKUP(V37,FHIR!A:A,FHIR!E:E)</f>
        <v>--------</v>
      </c>
      <c r="X37" t="str">
        <f>IF(LEN(V37)&gt;0,_xlfn.XLOOKUP(V37,FHIR!A:A,FHIR!M:M,""),"")</f>
        <v/>
      </c>
      <c r="Y37" t="str">
        <f>_xlfn.XLOOKUP(X37,XtEHR!A:A,XtEHR!I:I,"")</f>
        <v/>
      </c>
    </row>
    <row r="38" spans="1:25" ht="18.75" thickBot="1" x14ac:dyDescent="0.3">
      <c r="A38" s="16" t="s">
        <v>506</v>
      </c>
      <c r="B38" s="17">
        <v>3</v>
      </c>
      <c r="C38" s="18"/>
      <c r="D38" s="17" t="s">
        <v>436</v>
      </c>
      <c r="E38" s="17" t="s">
        <v>411</v>
      </c>
      <c r="F38" s="17" t="s">
        <v>481</v>
      </c>
      <c r="G38" s="17">
        <v>1</v>
      </c>
      <c r="H38" s="17" t="s">
        <v>414</v>
      </c>
      <c r="I38" s="17"/>
      <c r="J38" s="18"/>
      <c r="K38" s="17" t="s">
        <v>482</v>
      </c>
      <c r="M38" s="11" t="s">
        <v>992</v>
      </c>
      <c r="N38" s="26" t="str">
        <f t="shared" si="0"/>
        <v>SR-TID1602:3EV (111027, DCM, "Image Laterality")</v>
      </c>
      <c r="O38" s="11" t="s">
        <v>992</v>
      </c>
      <c r="P38" s="11" t="str">
        <f t="shared" si="1"/>
        <v/>
      </c>
      <c r="Q38" s="11" t="s">
        <v>992</v>
      </c>
      <c r="R38" s="11" t="str">
        <f t="shared" si="2"/>
        <v/>
      </c>
      <c r="S38" s="11" t="s">
        <v>992</v>
      </c>
      <c r="X38" t="str">
        <f>IF(LEN(V38)&gt;0,_xlfn.XLOOKUP(V38,FHIR!A:A,FHIR!M:M,""),"")</f>
        <v/>
      </c>
      <c r="Y38" t="str">
        <f>_xlfn.XLOOKUP(X38,XtEHR!A:A,XtEHR!I:I,"")</f>
        <v/>
      </c>
    </row>
    <row r="39" spans="1:25" ht="18.75" thickBot="1" x14ac:dyDescent="0.3">
      <c r="A39" s="16" t="s">
        <v>506</v>
      </c>
      <c r="B39" s="17">
        <v>4</v>
      </c>
      <c r="C39" s="18"/>
      <c r="D39" s="17" t="s">
        <v>436</v>
      </c>
      <c r="E39" s="17" t="s">
        <v>483</v>
      </c>
      <c r="F39" s="17" t="s">
        <v>484</v>
      </c>
      <c r="G39" s="17">
        <v>1</v>
      </c>
      <c r="H39" s="17" t="s">
        <v>414</v>
      </c>
      <c r="I39" s="17"/>
      <c r="J39" s="18"/>
      <c r="K39" s="18"/>
      <c r="M39" s="11" t="s">
        <v>992</v>
      </c>
      <c r="N39" s="26" t="str">
        <f t="shared" si="0"/>
        <v>SR-TID1602:4EV (111060, DCM, "Study Date")</v>
      </c>
      <c r="O39" s="11" t="s">
        <v>992</v>
      </c>
      <c r="P39" s="11" t="str">
        <f t="shared" si="1"/>
        <v/>
      </c>
      <c r="Q39" s="11" t="s">
        <v>992</v>
      </c>
      <c r="R39" s="11" t="str">
        <f t="shared" si="2"/>
        <v/>
      </c>
      <c r="S39" s="11" t="s">
        <v>992</v>
      </c>
      <c r="X39" t="str">
        <f>IF(LEN(V39)&gt;0,_xlfn.XLOOKUP(V39,FHIR!A:A,FHIR!M:M,""),"")</f>
        <v/>
      </c>
      <c r="Y39" t="str">
        <f>_xlfn.XLOOKUP(X39,XtEHR!A:A,XtEHR!I:I,"")</f>
        <v/>
      </c>
    </row>
    <row r="40" spans="1:25" ht="18.75" thickBot="1" x14ac:dyDescent="0.3">
      <c r="A40" s="16" t="s">
        <v>506</v>
      </c>
      <c r="B40" s="17">
        <v>5</v>
      </c>
      <c r="C40" s="18"/>
      <c r="D40" s="17" t="s">
        <v>436</v>
      </c>
      <c r="E40" s="17" t="s">
        <v>485</v>
      </c>
      <c r="F40" s="17" t="s">
        <v>486</v>
      </c>
      <c r="G40" s="17">
        <v>1</v>
      </c>
      <c r="H40" s="17" t="s">
        <v>414</v>
      </c>
      <c r="I40" s="17"/>
      <c r="J40" s="18"/>
      <c r="K40" s="18"/>
      <c r="M40" s="11" t="s">
        <v>992</v>
      </c>
      <c r="N40" s="26" t="str">
        <f t="shared" si="0"/>
        <v>SR-TID1602:5EV (111061, DCM, "Study Time")</v>
      </c>
      <c r="O40" s="11" t="s">
        <v>992</v>
      </c>
      <c r="P40" s="11" t="str">
        <f t="shared" si="1"/>
        <v/>
      </c>
      <c r="Q40" s="11" t="s">
        <v>992</v>
      </c>
      <c r="R40" s="11" t="str">
        <f t="shared" si="2"/>
        <v/>
      </c>
      <c r="S40" s="11" t="s">
        <v>992</v>
      </c>
      <c r="X40" t="str">
        <f>IF(LEN(V40)&gt;0,_xlfn.XLOOKUP(V40,FHIR!A:A,FHIR!M:M,""),"")</f>
        <v/>
      </c>
      <c r="Y40" t="str">
        <f>_xlfn.XLOOKUP(X40,XtEHR!A:A,XtEHR!I:I,"")</f>
        <v/>
      </c>
    </row>
    <row r="41" spans="1:25" ht="18.75" thickBot="1" x14ac:dyDescent="0.3">
      <c r="A41" s="16" t="s">
        <v>506</v>
      </c>
      <c r="B41" s="17">
        <v>6</v>
      </c>
      <c r="C41" s="18"/>
      <c r="D41" s="17" t="s">
        <v>436</v>
      </c>
      <c r="E41" s="17" t="s">
        <v>483</v>
      </c>
      <c r="F41" s="17" t="s">
        <v>487</v>
      </c>
      <c r="G41" s="17">
        <v>1</v>
      </c>
      <c r="H41" s="17" t="s">
        <v>414</v>
      </c>
      <c r="I41" s="17"/>
      <c r="J41" s="18"/>
      <c r="K41" s="18"/>
      <c r="M41" s="11" t="s">
        <v>992</v>
      </c>
      <c r="N41" s="26" t="str">
        <f t="shared" si="0"/>
        <v>SR-TID1602:6EV (111018, DCM, "Content Date")</v>
      </c>
      <c r="O41" s="11" t="s">
        <v>992</v>
      </c>
      <c r="P41" s="11" t="str">
        <f t="shared" si="1"/>
        <v/>
      </c>
      <c r="Q41" s="11" t="s">
        <v>992</v>
      </c>
      <c r="R41" s="11" t="str">
        <f t="shared" si="2"/>
        <v/>
      </c>
      <c r="S41" s="11" t="s">
        <v>992</v>
      </c>
      <c r="X41" t="str">
        <f>IF(LEN(V41)&gt;0,_xlfn.XLOOKUP(V41,FHIR!A:A,FHIR!M:M,""),"")</f>
        <v/>
      </c>
      <c r="Y41" t="str">
        <f>_xlfn.XLOOKUP(X41,XtEHR!A:A,XtEHR!I:I,"")</f>
        <v/>
      </c>
    </row>
    <row r="42" spans="1:25" ht="18.75" thickBot="1" x14ac:dyDescent="0.3">
      <c r="A42" s="16" t="s">
        <v>506</v>
      </c>
      <c r="B42" s="17">
        <v>7</v>
      </c>
      <c r="C42" s="18"/>
      <c r="D42" s="17" t="s">
        <v>436</v>
      </c>
      <c r="E42" s="17" t="s">
        <v>485</v>
      </c>
      <c r="F42" s="17" t="s">
        <v>488</v>
      </c>
      <c r="G42" s="17">
        <v>1</v>
      </c>
      <c r="H42" s="17" t="s">
        <v>414</v>
      </c>
      <c r="I42" s="17"/>
      <c r="J42" s="18"/>
      <c r="K42" s="18"/>
      <c r="M42" s="11" t="s">
        <v>992</v>
      </c>
      <c r="N42" s="26" t="str">
        <f t="shared" si="0"/>
        <v>SR-TID1602:7EV (111019, DCM, "Content Time")</v>
      </c>
      <c r="O42" s="11" t="s">
        <v>992</v>
      </c>
      <c r="P42" s="11" t="str">
        <f t="shared" si="1"/>
        <v/>
      </c>
      <c r="Q42" s="11" t="s">
        <v>992</v>
      </c>
      <c r="R42" s="11" t="str">
        <f t="shared" si="2"/>
        <v/>
      </c>
      <c r="S42" s="11" t="s">
        <v>992</v>
      </c>
      <c r="X42" t="str">
        <f>IF(LEN(V42)&gt;0,_xlfn.XLOOKUP(V42,FHIR!A:A,FHIR!M:M,""),"")</f>
        <v/>
      </c>
      <c r="Y42" t="str">
        <f>_xlfn.XLOOKUP(X42,XtEHR!A:A,XtEHR!I:I,"")</f>
        <v/>
      </c>
    </row>
    <row r="43" spans="1:25" ht="18.75" thickBot="1" x14ac:dyDescent="0.3">
      <c r="A43" s="16" t="s">
        <v>506</v>
      </c>
      <c r="B43" s="17">
        <v>8</v>
      </c>
      <c r="C43" s="18"/>
      <c r="D43" s="17" t="s">
        <v>436</v>
      </c>
      <c r="E43" s="17" t="s">
        <v>483</v>
      </c>
      <c r="F43" s="17" t="s">
        <v>489</v>
      </c>
      <c r="G43" s="17">
        <v>1</v>
      </c>
      <c r="H43" s="17" t="s">
        <v>414</v>
      </c>
      <c r="I43" s="17"/>
      <c r="J43" s="18"/>
      <c r="K43" s="18"/>
      <c r="M43" s="11" t="s">
        <v>992</v>
      </c>
      <c r="N43" s="26" t="str">
        <f t="shared" si="0"/>
        <v>SR-TID1602:8EV (126201, DCM, "Acquisition Date")</v>
      </c>
      <c r="O43" s="11" t="s">
        <v>992</v>
      </c>
      <c r="P43" s="11" t="str">
        <f t="shared" si="1"/>
        <v/>
      </c>
      <c r="Q43" s="11" t="s">
        <v>992</v>
      </c>
      <c r="R43" s="11" t="str">
        <f t="shared" si="2"/>
        <v/>
      </c>
      <c r="S43" s="11" t="s">
        <v>992</v>
      </c>
      <c r="X43" t="str">
        <f>IF(LEN(V43)&gt;0,_xlfn.XLOOKUP(V43,FHIR!A:A,FHIR!M:M,""),"")</f>
        <v/>
      </c>
      <c r="Y43" t="str">
        <f>_xlfn.XLOOKUP(X43,XtEHR!A:A,XtEHR!I:I,"")</f>
        <v/>
      </c>
    </row>
    <row r="44" spans="1:25" ht="18.75" thickBot="1" x14ac:dyDescent="0.3">
      <c r="A44" s="16" t="s">
        <v>506</v>
      </c>
      <c r="B44" s="17">
        <v>9</v>
      </c>
      <c r="C44" s="18"/>
      <c r="D44" s="17" t="s">
        <v>436</v>
      </c>
      <c r="E44" s="17" t="s">
        <v>485</v>
      </c>
      <c r="F44" s="17" t="s">
        <v>490</v>
      </c>
      <c r="G44" s="17">
        <v>1</v>
      </c>
      <c r="H44" s="17" t="s">
        <v>414</v>
      </c>
      <c r="I44" s="17"/>
      <c r="J44" s="18"/>
      <c r="K44" s="18"/>
      <c r="M44" s="11" t="s">
        <v>992</v>
      </c>
      <c r="N44" s="26" t="str">
        <f t="shared" si="0"/>
        <v>SR-TID1602:9EV (126202, DCM, "Acquisition Time")</v>
      </c>
      <c r="O44" s="11" t="s">
        <v>992</v>
      </c>
      <c r="P44" s="11" t="str">
        <f t="shared" si="1"/>
        <v/>
      </c>
      <c r="Q44" s="11" t="s">
        <v>992</v>
      </c>
      <c r="R44" s="11" t="str">
        <f t="shared" si="2"/>
        <v/>
      </c>
      <c r="S44" s="11" t="s">
        <v>992</v>
      </c>
      <c r="X44" t="str">
        <f>IF(LEN(V44)&gt;0,_xlfn.XLOOKUP(V44,FHIR!A:A,FHIR!M:M,""),"")</f>
        <v/>
      </c>
      <c r="Y44" t="str">
        <f>_xlfn.XLOOKUP(X44,XtEHR!A:A,XtEHR!I:I,"")</f>
        <v/>
      </c>
    </row>
    <row r="45" spans="1:25" ht="36.75" thickBot="1" x14ac:dyDescent="0.3">
      <c r="A45" s="16" t="s">
        <v>506</v>
      </c>
      <c r="B45" s="17">
        <v>10</v>
      </c>
      <c r="C45" s="18"/>
      <c r="D45" s="17" t="s">
        <v>436</v>
      </c>
      <c r="E45" s="17" t="s">
        <v>464</v>
      </c>
      <c r="F45" s="17" t="s">
        <v>491</v>
      </c>
      <c r="G45" s="17">
        <v>1</v>
      </c>
      <c r="H45" s="17" t="s">
        <v>414</v>
      </c>
      <c r="I45" s="17"/>
      <c r="J45" s="18"/>
      <c r="K45" s="18"/>
      <c r="M45" s="11" t="s">
        <v>992</v>
      </c>
      <c r="N45" s="26" t="str">
        <f t="shared" si="0"/>
        <v>SR-TID1602:10EV (112227, DCM, "Frame of Reference UID")</v>
      </c>
      <c r="O45" s="11" t="s">
        <v>992</v>
      </c>
      <c r="P45" s="11" t="str">
        <f t="shared" si="1"/>
        <v>--------</v>
      </c>
      <c r="Q45" s="11" t="s">
        <v>992</v>
      </c>
      <c r="R45" s="11" t="str">
        <f t="shared" si="2"/>
        <v/>
      </c>
      <c r="S45" s="11" t="s">
        <v>992</v>
      </c>
      <c r="W45" t="str">
        <f>_xlfn.XLOOKUP(V45,FHIR!A:A,FHIR!E:E)</f>
        <v>--------</v>
      </c>
      <c r="X45" t="str">
        <f>IF(LEN(V45)&gt;0,_xlfn.XLOOKUP(V45,FHIR!A:A,FHIR!M:M,""),"")</f>
        <v/>
      </c>
      <c r="Y45" t="str">
        <f>_xlfn.XLOOKUP(X45,XtEHR!A:A,XtEHR!I:I,"")</f>
        <v/>
      </c>
    </row>
    <row r="46" spans="1:25" ht="36.75" thickBot="1" x14ac:dyDescent="0.3">
      <c r="A46" s="16" t="s">
        <v>506</v>
      </c>
      <c r="B46" s="17">
        <v>11</v>
      </c>
      <c r="C46" s="18"/>
      <c r="D46" s="17" t="s">
        <v>436</v>
      </c>
      <c r="E46" s="17" t="s">
        <v>492</v>
      </c>
      <c r="F46" s="17" t="s">
        <v>493</v>
      </c>
      <c r="G46" s="17">
        <v>1</v>
      </c>
      <c r="H46" s="17" t="s">
        <v>414</v>
      </c>
      <c r="I46" s="17"/>
      <c r="J46" s="18"/>
      <c r="K46" s="17" t="s">
        <v>494</v>
      </c>
      <c r="M46" s="11" t="s">
        <v>992</v>
      </c>
      <c r="N46" s="26" t="str">
        <f t="shared" si="0"/>
        <v>SR-TID1602:11EV (110910, DCM, "Pixel Data Rows")</v>
      </c>
      <c r="O46" s="11" t="s">
        <v>992</v>
      </c>
      <c r="P46" s="11" t="str">
        <f t="shared" si="1"/>
        <v>--------</v>
      </c>
      <c r="Q46" s="11" t="s">
        <v>992</v>
      </c>
      <c r="R46" s="11" t="str">
        <f t="shared" si="2"/>
        <v/>
      </c>
      <c r="S46" s="11" t="s">
        <v>992</v>
      </c>
      <c r="W46" t="str">
        <f>_xlfn.XLOOKUP(V46,FHIR!A:A,FHIR!E:E)</f>
        <v>--------</v>
      </c>
      <c r="X46" t="str">
        <f>IF(LEN(V46)&gt;0,_xlfn.XLOOKUP(V46,FHIR!A:A,FHIR!M:M,""),"")</f>
        <v/>
      </c>
      <c r="Y46" t="str">
        <f>_xlfn.XLOOKUP(X46,XtEHR!A:A,XtEHR!I:I,"")</f>
        <v/>
      </c>
    </row>
    <row r="47" spans="1:25" ht="36.75" thickBot="1" x14ac:dyDescent="0.3">
      <c r="A47" s="16" t="s">
        <v>506</v>
      </c>
      <c r="B47" s="17">
        <v>12</v>
      </c>
      <c r="C47" s="18"/>
      <c r="D47" s="17" t="s">
        <v>436</v>
      </c>
      <c r="E47" s="17" t="s">
        <v>492</v>
      </c>
      <c r="F47" s="17" t="s">
        <v>495</v>
      </c>
      <c r="G47" s="17">
        <v>1</v>
      </c>
      <c r="H47" s="17" t="s">
        <v>414</v>
      </c>
      <c r="I47" s="17"/>
      <c r="J47" s="18"/>
      <c r="K47" s="17" t="s">
        <v>494</v>
      </c>
      <c r="M47" s="11" t="s">
        <v>992</v>
      </c>
      <c r="N47" s="26" t="str">
        <f t="shared" si="0"/>
        <v>SR-TID1602:12EV (110911, DCM, "Pixel Data Columns")</v>
      </c>
      <c r="O47" s="11" t="s">
        <v>992</v>
      </c>
      <c r="P47" s="11" t="str">
        <f t="shared" si="1"/>
        <v>--------</v>
      </c>
      <c r="Q47" s="11" t="s">
        <v>992</v>
      </c>
      <c r="R47" s="11" t="str">
        <f t="shared" si="2"/>
        <v/>
      </c>
      <c r="S47" s="11" t="s">
        <v>992</v>
      </c>
      <c r="W47" t="str">
        <f>_xlfn.XLOOKUP(V47,FHIR!A:A,FHIR!E:E)</f>
        <v>--------</v>
      </c>
      <c r="X47" t="str">
        <f>IF(LEN(V47)&gt;0,_xlfn.XLOOKUP(V47,FHIR!A:A,FHIR!M:M,""),"")</f>
        <v/>
      </c>
      <c r="Y47" t="str">
        <f>_xlfn.XLOOKUP(X47,XtEHR!A:A,XtEHR!I:I,"")</f>
        <v/>
      </c>
    </row>
    <row r="48" spans="1:25" ht="54.75" thickBot="1" x14ac:dyDescent="0.3">
      <c r="A48" s="16" t="s">
        <v>506</v>
      </c>
      <c r="B48" s="17">
        <v>13</v>
      </c>
      <c r="C48" s="18"/>
      <c r="D48" s="17" t="s">
        <v>436</v>
      </c>
      <c r="E48" s="17" t="s">
        <v>421</v>
      </c>
      <c r="F48" s="17" t="s">
        <v>496</v>
      </c>
      <c r="G48" s="17">
        <v>1</v>
      </c>
      <c r="H48" s="17" t="s">
        <v>418</v>
      </c>
      <c r="I48" s="17"/>
      <c r="J48" s="17" t="s">
        <v>497</v>
      </c>
      <c r="K48" s="18"/>
      <c r="M48" s="11" t="s">
        <v>992</v>
      </c>
      <c r="N48" s="26" t="str">
        <f t="shared" si="0"/>
        <v>SR-TID1602:13DTID 1603 “Image Library Entry Descriptors for Projection Radiography”</v>
      </c>
      <c r="O48" s="11" t="s">
        <v>992</v>
      </c>
      <c r="P48" s="11" t="str">
        <f t="shared" si="1"/>
        <v>--------</v>
      </c>
      <c r="Q48" s="11" t="s">
        <v>992</v>
      </c>
      <c r="R48" s="11" t="str">
        <f t="shared" si="2"/>
        <v/>
      </c>
      <c r="S48" s="11" t="s">
        <v>992</v>
      </c>
      <c r="W48" t="str">
        <f>_xlfn.XLOOKUP(V48,FHIR!A:A,FHIR!E:E)</f>
        <v>--------</v>
      </c>
      <c r="X48" t="str">
        <f>IF(LEN(V48)&gt;0,_xlfn.XLOOKUP(V48,FHIR!A:A,FHIR!M:M,""),"")</f>
        <v/>
      </c>
      <c r="Y48" t="str">
        <f>_xlfn.XLOOKUP(X48,XtEHR!A:A,XtEHR!I:I,"")</f>
        <v/>
      </c>
    </row>
    <row r="49" spans="1:25" ht="54.75" thickBot="1" x14ac:dyDescent="0.3">
      <c r="A49" s="16" t="s">
        <v>506</v>
      </c>
      <c r="B49" s="17">
        <v>14</v>
      </c>
      <c r="C49" s="18"/>
      <c r="D49" s="17" t="s">
        <v>436</v>
      </c>
      <c r="E49" s="17" t="s">
        <v>421</v>
      </c>
      <c r="F49" s="17" t="s">
        <v>498</v>
      </c>
      <c r="G49" s="17">
        <v>1</v>
      </c>
      <c r="H49" s="17" t="s">
        <v>418</v>
      </c>
      <c r="I49" s="17"/>
      <c r="J49" s="17" t="s">
        <v>499</v>
      </c>
      <c r="K49" s="18"/>
      <c r="M49" s="11" t="s">
        <v>992</v>
      </c>
      <c r="N49" s="26" t="str">
        <f t="shared" si="0"/>
        <v>SR-TID1602:14DTID 1604 “Image Library Entry Descriptors for Cross-Sectional Modalities”</v>
      </c>
      <c r="O49" s="11" t="s">
        <v>992</v>
      </c>
      <c r="P49" s="11" t="str">
        <f t="shared" si="1"/>
        <v>--------</v>
      </c>
      <c r="Q49" s="11" t="s">
        <v>992</v>
      </c>
      <c r="R49" s="11" t="str">
        <f t="shared" si="2"/>
        <v/>
      </c>
      <c r="S49" s="11" t="s">
        <v>992</v>
      </c>
      <c r="W49" t="str">
        <f>_xlfn.XLOOKUP(V49,FHIR!A:A,FHIR!E:E)</f>
        <v>--------</v>
      </c>
      <c r="X49" t="str">
        <f>IF(LEN(V49)&gt;0,_xlfn.XLOOKUP(V49,FHIR!A:A,FHIR!M:M,""),"")</f>
        <v/>
      </c>
      <c r="Y49" t="str">
        <f>_xlfn.XLOOKUP(X49,XtEHR!A:A,XtEHR!I:I,"")</f>
        <v/>
      </c>
    </row>
    <row r="50" spans="1:25" ht="36.75" thickBot="1" x14ac:dyDescent="0.3">
      <c r="A50" s="16" t="s">
        <v>506</v>
      </c>
      <c r="B50" s="17">
        <v>15</v>
      </c>
      <c r="C50" s="18"/>
      <c r="D50" s="17" t="s">
        <v>436</v>
      </c>
      <c r="E50" s="17" t="s">
        <v>421</v>
      </c>
      <c r="F50" s="17" t="s">
        <v>500</v>
      </c>
      <c r="G50" s="17">
        <v>1</v>
      </c>
      <c r="H50" s="17" t="s">
        <v>418</v>
      </c>
      <c r="I50" s="17"/>
      <c r="J50" s="17" t="s">
        <v>501</v>
      </c>
      <c r="K50" s="18"/>
      <c r="M50" s="11" t="s">
        <v>992</v>
      </c>
      <c r="N50" s="26" t="str">
        <f t="shared" si="0"/>
        <v>SR-TID1602:15DTID 1605 “Image Library Entry Descriptors for CT”</v>
      </c>
      <c r="O50" s="11" t="s">
        <v>992</v>
      </c>
      <c r="P50" s="11" t="str">
        <f t="shared" si="1"/>
        <v>--------</v>
      </c>
      <c r="Q50" s="11" t="s">
        <v>992</v>
      </c>
      <c r="R50" s="11" t="str">
        <f t="shared" si="2"/>
        <v/>
      </c>
      <c r="S50" s="11" t="s">
        <v>992</v>
      </c>
      <c r="W50" t="str">
        <f>_xlfn.XLOOKUP(V50,FHIR!A:A,FHIR!E:E)</f>
        <v>--------</v>
      </c>
      <c r="X50" t="str">
        <f>IF(LEN(V50)&gt;0,_xlfn.XLOOKUP(V50,FHIR!A:A,FHIR!M:M,""),"")</f>
        <v/>
      </c>
      <c r="Y50" t="str">
        <f>_xlfn.XLOOKUP(X50,XtEHR!A:A,XtEHR!I:I,"")</f>
        <v/>
      </c>
    </row>
    <row r="51" spans="1:25" ht="36.75" thickBot="1" x14ac:dyDescent="0.3">
      <c r="A51" s="16" t="s">
        <v>506</v>
      </c>
      <c r="B51" s="17">
        <v>16</v>
      </c>
      <c r="C51" s="18"/>
      <c r="D51" s="17" t="s">
        <v>436</v>
      </c>
      <c r="E51" s="17" t="s">
        <v>421</v>
      </c>
      <c r="F51" s="17" t="s">
        <v>502</v>
      </c>
      <c r="G51" s="17">
        <v>1</v>
      </c>
      <c r="H51" s="17" t="s">
        <v>418</v>
      </c>
      <c r="I51" s="17"/>
      <c r="J51" s="17" t="s">
        <v>503</v>
      </c>
      <c r="K51" s="18"/>
      <c r="M51" s="11" t="s">
        <v>992</v>
      </c>
      <c r="N51" s="26" t="str">
        <f t="shared" si="0"/>
        <v>SR-TID1602:16DTID 1606 “Image Library Entry Descriptors for MR”</v>
      </c>
      <c r="O51" s="11" t="s">
        <v>992</v>
      </c>
      <c r="P51" s="11" t="str">
        <f t="shared" si="1"/>
        <v>--------</v>
      </c>
      <c r="Q51" s="11" t="s">
        <v>992</v>
      </c>
      <c r="R51" s="11" t="str">
        <f t="shared" si="2"/>
        <v/>
      </c>
      <c r="S51" s="11" t="s">
        <v>992</v>
      </c>
      <c r="W51" t="str">
        <f>_xlfn.XLOOKUP(V51,FHIR!A:A,FHIR!E:E)</f>
        <v>--------</v>
      </c>
      <c r="X51" t="str">
        <f>IF(LEN(V51)&gt;0,_xlfn.XLOOKUP(V51,FHIR!A:A,FHIR!M:M,""),"")</f>
        <v/>
      </c>
      <c r="Y51" t="str">
        <f>_xlfn.XLOOKUP(X51,XtEHR!A:A,XtEHR!I:I,"")</f>
        <v/>
      </c>
    </row>
    <row r="52" spans="1:25" ht="36.75" thickBot="1" x14ac:dyDescent="0.3">
      <c r="A52" s="16" t="s">
        <v>506</v>
      </c>
      <c r="B52" s="17">
        <v>17</v>
      </c>
      <c r="C52" s="18"/>
      <c r="D52" s="17" t="s">
        <v>436</v>
      </c>
      <c r="E52" s="17" t="s">
        <v>421</v>
      </c>
      <c r="F52" s="17" t="s">
        <v>504</v>
      </c>
      <c r="G52" s="17">
        <v>1</v>
      </c>
      <c r="H52" s="17" t="s">
        <v>418</v>
      </c>
      <c r="I52" s="17"/>
      <c r="J52" s="17" t="s">
        <v>505</v>
      </c>
      <c r="K52" s="18"/>
      <c r="M52" s="11" t="s">
        <v>992</v>
      </c>
      <c r="N52" s="26" t="str">
        <f t="shared" si="0"/>
        <v>SR-TID1602:17DTID 1607 “Image Library Entry Descriptors for PET”</v>
      </c>
      <c r="O52" s="11" t="s">
        <v>992</v>
      </c>
      <c r="P52" s="11" t="str">
        <f t="shared" si="1"/>
        <v>--------</v>
      </c>
      <c r="Q52" s="11" t="s">
        <v>992</v>
      </c>
      <c r="R52" s="11" t="str">
        <f t="shared" si="2"/>
        <v/>
      </c>
      <c r="S52" s="11" t="s">
        <v>992</v>
      </c>
      <c r="W52" t="str">
        <f>_xlfn.XLOOKUP(V52,FHIR!A:A,FHIR!E:E)</f>
        <v>--------</v>
      </c>
      <c r="X52" t="str">
        <f>IF(LEN(V52)&gt;0,_xlfn.XLOOKUP(V52,FHIR!A:A,FHIR!M:M,""),"")</f>
        <v/>
      </c>
      <c r="Y52" t="str">
        <f>_xlfn.XLOOKUP(X52,XtEHR!A:A,XtEHR!I:I,"")</f>
        <v/>
      </c>
    </row>
    <row r="53" spans="1:25" ht="90.75" thickBot="1" x14ac:dyDescent="0.3">
      <c r="A53" s="16" t="s">
        <v>506</v>
      </c>
      <c r="B53" s="24"/>
      <c r="C53" s="24"/>
      <c r="D53" s="24" t="s">
        <v>436</v>
      </c>
      <c r="E53" s="24" t="s">
        <v>483</v>
      </c>
      <c r="F53" s="24" t="s">
        <v>508</v>
      </c>
      <c r="G53" s="24">
        <v>1</v>
      </c>
      <c r="H53" s="24" t="s">
        <v>509</v>
      </c>
      <c r="I53" s="24" t="s">
        <v>303</v>
      </c>
      <c r="J53" s="24"/>
      <c r="M53" s="11" t="s">
        <v>992</v>
      </c>
      <c r="N53" s="26" t="str">
        <f t="shared" si="0"/>
        <v>SR-TID1602:EV (ddd003, DCM, "Series Date")</v>
      </c>
      <c r="O53" s="11" t="s">
        <v>992</v>
      </c>
      <c r="P53" s="11" t="str">
        <f t="shared" si="1"/>
        <v>ImagingStudy.series.started</v>
      </c>
      <c r="Q53" s="11" t="s">
        <v>992</v>
      </c>
      <c r="R53" s="11" t="str">
        <f t="shared" si="2"/>
        <v>EHDSImagingStudy- series.started</v>
      </c>
      <c r="S53" s="11" t="s">
        <v>992</v>
      </c>
      <c r="V53" t="s">
        <v>821</v>
      </c>
      <c r="W53" t="str">
        <f>_xlfn.XLOOKUP(V53,FHIR!A:A,FHIR!E:E)</f>
        <v>ImagingStudy.series.started</v>
      </c>
      <c r="X53" t="str">
        <f>IF(LEN(V53)&gt;0,_xlfn.XLOOKUP(V53,FHIR!A:A,FHIR!M:M,""),"")</f>
        <v>EHDSImagingStudy30</v>
      </c>
      <c r="Y53" t="str">
        <f>_xlfn.XLOOKUP(X53,XtEHR!A:A,XtEHR!I:I,"")</f>
        <v>EHDSImagingStudy- series.started</v>
      </c>
    </row>
    <row r="54" spans="1:25" ht="90.75" thickBot="1" x14ac:dyDescent="0.3">
      <c r="A54" s="16" t="s">
        <v>506</v>
      </c>
      <c r="B54" s="24"/>
      <c r="C54" s="24"/>
      <c r="D54" s="24" t="s">
        <v>436</v>
      </c>
      <c r="E54" s="24" t="s">
        <v>485</v>
      </c>
      <c r="F54" s="24" t="s">
        <v>510</v>
      </c>
      <c r="G54" s="24">
        <v>1</v>
      </c>
      <c r="H54" s="24" t="s">
        <v>509</v>
      </c>
      <c r="I54" s="24" t="s">
        <v>303</v>
      </c>
      <c r="J54" s="24"/>
      <c r="M54" s="11" t="s">
        <v>992</v>
      </c>
      <c r="N54" s="26" t="str">
        <f t="shared" si="0"/>
        <v>SR-TID1602:EV (ddd004, DCM, "Series Time")</v>
      </c>
      <c r="O54" s="11" t="s">
        <v>992</v>
      </c>
      <c r="P54" s="11" t="str">
        <f t="shared" si="1"/>
        <v>ImagingStudy.series.started</v>
      </c>
      <c r="Q54" s="11" t="s">
        <v>992</v>
      </c>
      <c r="R54" s="11" t="str">
        <f t="shared" si="2"/>
        <v>EHDSImagingStudy- series.started</v>
      </c>
      <c r="S54" s="11" t="s">
        <v>992</v>
      </c>
      <c r="V54" t="s">
        <v>821</v>
      </c>
      <c r="W54" t="str">
        <f>_xlfn.XLOOKUP(V54,FHIR!A:A,FHIR!E:E)</f>
        <v>ImagingStudy.series.started</v>
      </c>
      <c r="X54" t="str">
        <f>IF(LEN(V54)&gt;0,_xlfn.XLOOKUP(V54,FHIR!A:A,FHIR!M:M,""),"")</f>
        <v>EHDSImagingStudy30</v>
      </c>
      <c r="Y54" t="str">
        <f>_xlfn.XLOOKUP(X54,XtEHR!A:A,XtEHR!I:I,"")</f>
        <v>EHDSImagingStudy- series.started</v>
      </c>
    </row>
    <row r="55" spans="1:25" ht="90.75" thickBot="1" x14ac:dyDescent="0.3">
      <c r="A55" s="16" t="s">
        <v>506</v>
      </c>
      <c r="B55" s="24"/>
      <c r="C55" s="24"/>
      <c r="D55" s="24" t="s">
        <v>436</v>
      </c>
      <c r="E55" s="24" t="s">
        <v>426</v>
      </c>
      <c r="F55" s="24" t="s">
        <v>511</v>
      </c>
      <c r="G55" s="24">
        <v>1</v>
      </c>
      <c r="H55" s="24" t="s">
        <v>509</v>
      </c>
      <c r="I55" s="24" t="s">
        <v>303</v>
      </c>
      <c r="J55" s="24"/>
      <c r="M55" s="11" t="s">
        <v>992</v>
      </c>
      <c r="N55" s="26" t="str">
        <f t="shared" si="0"/>
        <v>SR-TID1602:EV (ddd002, DCM, “Series Description”)</v>
      </c>
      <c r="O55" s="11" t="s">
        <v>992</v>
      </c>
      <c r="P55" s="11" t="str">
        <f t="shared" si="1"/>
        <v>ImagingStudy.series.description</v>
      </c>
      <c r="Q55" s="11" t="s">
        <v>992</v>
      </c>
      <c r="R55" s="11" t="str">
        <f t="shared" si="2"/>
        <v>EHDSImagingStudy- series.description</v>
      </c>
      <c r="S55" s="11" t="s">
        <v>992</v>
      </c>
      <c r="V55" t="s">
        <v>815</v>
      </c>
      <c r="W55" t="str">
        <f>_xlfn.XLOOKUP(V55,FHIR!A:A,FHIR!E:E)</f>
        <v>ImagingStudy.series.description</v>
      </c>
      <c r="X55" t="str">
        <f>IF(LEN(V55)&gt;0,_xlfn.XLOOKUP(V55,FHIR!A:A,FHIR!M:M,""),"")</f>
        <v>EHDSImagingStudy25</v>
      </c>
      <c r="Y55" t="str">
        <f>_xlfn.XLOOKUP(X55,XtEHR!A:A,XtEHR!I:I,"")</f>
        <v>EHDSImagingStudy- series.description</v>
      </c>
    </row>
    <row r="56" spans="1:25" ht="90.75" thickBot="1" x14ac:dyDescent="0.3">
      <c r="A56" s="16" t="s">
        <v>506</v>
      </c>
      <c r="B56" s="24"/>
      <c r="C56" s="24"/>
      <c r="D56" s="24" t="s">
        <v>436</v>
      </c>
      <c r="E56" s="24" t="s">
        <v>426</v>
      </c>
      <c r="F56" s="24" t="s">
        <v>512</v>
      </c>
      <c r="G56" s="24">
        <v>1</v>
      </c>
      <c r="H56" s="24" t="s">
        <v>509</v>
      </c>
      <c r="I56" s="24" t="s">
        <v>303</v>
      </c>
      <c r="J56" s="24" t="s">
        <v>513</v>
      </c>
      <c r="M56" s="11" t="s">
        <v>992</v>
      </c>
      <c r="N56" s="26" t="str">
        <f t="shared" si="0"/>
        <v>SR-TID1602:EV (ddd005, DCM, “Series Number”)</v>
      </c>
      <c r="O56" s="11" t="s">
        <v>992</v>
      </c>
      <c r="P56" s="11" t="str">
        <f t="shared" si="1"/>
        <v>ImagingStudy.series.number</v>
      </c>
      <c r="Q56" s="11" t="s">
        <v>992</v>
      </c>
      <c r="R56" s="11" t="str">
        <f t="shared" si="2"/>
        <v>EHDSImagingStudy- series.number</v>
      </c>
      <c r="S56" s="11" t="s">
        <v>992</v>
      </c>
      <c r="V56" t="s">
        <v>813</v>
      </c>
      <c r="W56" t="str">
        <f>_xlfn.XLOOKUP(V56,FHIR!A:A,FHIR!E:E)</f>
        <v>ImagingStudy.series.number</v>
      </c>
      <c r="X56" t="str">
        <f>IF(LEN(V56)&gt;0,_xlfn.XLOOKUP(V56,FHIR!A:A,FHIR!M:M,""),"")</f>
        <v>EHDSImagingStudy23</v>
      </c>
      <c r="Y56" t="str">
        <f>_xlfn.XLOOKUP(X56,XtEHR!A:A,XtEHR!I:I,"")</f>
        <v>EHDSImagingStudy- series.number</v>
      </c>
    </row>
    <row r="57" spans="1:25" ht="36.75" thickBot="1" x14ac:dyDescent="0.3">
      <c r="A57" s="16" t="s">
        <v>506</v>
      </c>
      <c r="B57" s="24"/>
      <c r="C57" s="24"/>
      <c r="D57" s="24" t="s">
        <v>436</v>
      </c>
      <c r="E57" s="24" t="s">
        <v>464</v>
      </c>
      <c r="F57" s="24" t="s">
        <v>514</v>
      </c>
      <c r="G57" s="24">
        <v>1</v>
      </c>
      <c r="H57" s="24"/>
      <c r="I57" s="24" t="s">
        <v>288</v>
      </c>
      <c r="J57" s="24"/>
      <c r="M57" s="11" t="s">
        <v>992</v>
      </c>
      <c r="N57" s="26" t="str">
        <f t="shared" si="0"/>
        <v>SR-TID1602:EV (ddd006, DCM, “Series Instance UID”)</v>
      </c>
      <c r="O57" s="11" t="s">
        <v>992</v>
      </c>
      <c r="P57" s="11" t="str">
        <f t="shared" si="1"/>
        <v>ImagingStudy.series.uid</v>
      </c>
      <c r="Q57" s="11" t="s">
        <v>992</v>
      </c>
      <c r="R57" s="11" t="str">
        <f t="shared" si="2"/>
        <v>EHDSImagingStudy- series.seriesUid</v>
      </c>
      <c r="S57" s="11" t="s">
        <v>992</v>
      </c>
      <c r="V57" t="s">
        <v>812</v>
      </c>
      <c r="W57" t="str">
        <f>_xlfn.XLOOKUP(V57,FHIR!A:A,FHIR!E:E)</f>
        <v>ImagingStudy.series.uid</v>
      </c>
      <c r="X57" t="str">
        <f>IF(LEN(V57)&gt;0,_xlfn.XLOOKUP(V57,FHIR!A:A,FHIR!M:M,""),"")</f>
        <v>EHDSImagingStudy22</v>
      </c>
      <c r="Y57" t="str">
        <f>_xlfn.XLOOKUP(X57,XtEHR!A:A,XtEHR!I:I,"")</f>
        <v>EHDSImagingStudy- series.seriesUid</v>
      </c>
    </row>
    <row r="58" spans="1:25" ht="108.75" thickBot="1" x14ac:dyDescent="0.3">
      <c r="A58" s="16" t="s">
        <v>506</v>
      </c>
      <c r="B58" s="24"/>
      <c r="C58" s="24"/>
      <c r="D58" s="24" t="s">
        <v>436</v>
      </c>
      <c r="E58" s="24" t="s">
        <v>411</v>
      </c>
      <c r="F58" s="24" t="s">
        <v>466</v>
      </c>
      <c r="G58" s="24" t="s">
        <v>413</v>
      </c>
      <c r="H58" s="24" t="s">
        <v>515</v>
      </c>
      <c r="I58" s="24" t="s">
        <v>303</v>
      </c>
      <c r="J58" s="24" t="s">
        <v>516</v>
      </c>
      <c r="M58" s="11" t="s">
        <v>992</v>
      </c>
      <c r="N58" s="26" t="str">
        <f t="shared" si="0"/>
        <v>SR-TID1602:EV (123014, DCM, "Target Region")</v>
      </c>
      <c r="O58" s="11" t="s">
        <v>992</v>
      </c>
      <c r="P58" s="11" t="str">
        <f t="shared" si="1"/>
        <v>ImagingStudy.series.bodySite</v>
      </c>
      <c r="Q58" s="11" t="s">
        <v>992</v>
      </c>
      <c r="R58" s="11" t="str">
        <f t="shared" si="2"/>
        <v>EHDSImagingStudy- series.bodySite</v>
      </c>
      <c r="S58" s="11" t="s">
        <v>992</v>
      </c>
      <c r="V58" t="s">
        <v>818</v>
      </c>
      <c r="W58" t="str">
        <f>_xlfn.XLOOKUP(V58,FHIR!A:A,FHIR!E:E)</f>
        <v>ImagingStudy.series.bodySite</v>
      </c>
      <c r="X58" t="str">
        <f>IF(LEN(V58)&gt;0,_xlfn.XLOOKUP(V58,FHIR!A:A,FHIR!M:M,""),"")</f>
        <v>EHDSImagingStudy28</v>
      </c>
      <c r="Y58" t="str">
        <f>_xlfn.XLOOKUP(X58,XtEHR!A:A,XtEHR!I:I,"")</f>
        <v>EHDSImagingStudy- series.bodySite</v>
      </c>
    </row>
    <row r="59" spans="1:25" ht="108.75" thickBot="1" x14ac:dyDescent="0.3">
      <c r="A59" s="16" t="s">
        <v>506</v>
      </c>
      <c r="B59" s="24"/>
      <c r="C59" s="24"/>
      <c r="D59" s="24" t="s">
        <v>436</v>
      </c>
      <c r="E59" s="24" t="s">
        <v>426</v>
      </c>
      <c r="F59" s="24" t="s">
        <v>466</v>
      </c>
      <c r="G59" s="24" t="s">
        <v>413</v>
      </c>
      <c r="H59" s="24" t="s">
        <v>517</v>
      </c>
      <c r="I59" s="24" t="s">
        <v>303</v>
      </c>
      <c r="J59" s="24" t="s">
        <v>516</v>
      </c>
      <c r="M59" s="11" t="s">
        <v>992</v>
      </c>
      <c r="N59" s="26" t="str">
        <f t="shared" si="0"/>
        <v>SR-TID1602:EV (123014, DCM, "Target Region")</v>
      </c>
      <c r="O59" s="11" t="s">
        <v>992</v>
      </c>
      <c r="P59" s="11" t="str">
        <f t="shared" si="1"/>
        <v>ImagingStudy.series.bodySite.text</v>
      </c>
      <c r="Q59" s="11" t="s">
        <v>992</v>
      </c>
      <c r="R59" s="11" t="str">
        <f t="shared" si="2"/>
        <v>EHDSImagingStudy- series.bodySite</v>
      </c>
      <c r="S59" s="11" t="s">
        <v>992</v>
      </c>
      <c r="V59" t="s">
        <v>988</v>
      </c>
      <c r="W59" t="str">
        <f>_xlfn.XLOOKUP(V59,FHIR!A:A,FHIR!E:E)</f>
        <v>ImagingStudy.series.bodySite.text</v>
      </c>
      <c r="X59" t="str">
        <f>IF(LEN(V59)&gt;0,_xlfn.XLOOKUP(V59,FHIR!A:A,FHIR!M:M,""),"")</f>
        <v>EHDSImagingStudy28</v>
      </c>
      <c r="Y59" t="str">
        <f>_xlfn.XLOOKUP(X59,XtEHR!A:A,XtEHR!I:I,"")</f>
        <v>EHDSImagingStudy- series.bodySite</v>
      </c>
    </row>
    <row r="60" spans="1:25" ht="36.75" thickBot="1" x14ac:dyDescent="0.3">
      <c r="A60" s="16" t="s">
        <v>506</v>
      </c>
      <c r="B60" s="24"/>
      <c r="C60" s="24"/>
      <c r="D60" s="24" t="s">
        <v>436</v>
      </c>
      <c r="E60" s="24" t="s">
        <v>426</v>
      </c>
      <c r="F60" s="24" t="s">
        <v>518</v>
      </c>
      <c r="G60" s="24">
        <v>1</v>
      </c>
      <c r="H60" s="24" t="s">
        <v>2</v>
      </c>
      <c r="I60" s="24" t="s">
        <v>288</v>
      </c>
      <c r="J60" s="24"/>
      <c r="M60" s="11" t="s">
        <v>992</v>
      </c>
      <c r="N60" s="26" t="str">
        <f t="shared" si="0"/>
        <v>SR-TID1602:EV (ddd007, DCM, “Number of Series Related Instances”) </v>
      </c>
      <c r="O60" s="11" t="s">
        <v>992</v>
      </c>
      <c r="P60" s="11" t="str">
        <f t="shared" si="1"/>
        <v>ImagingStudy.series.numberOfInstances</v>
      </c>
      <c r="Q60" s="11" t="s">
        <v>992</v>
      </c>
      <c r="R60" s="11" t="str">
        <f t="shared" si="2"/>
        <v>EHDSImagingStudy- series.numberOfInstances</v>
      </c>
      <c r="S60" s="11" t="s">
        <v>992</v>
      </c>
      <c r="V60" t="s">
        <v>816</v>
      </c>
      <c r="W60" t="str">
        <f>_xlfn.XLOOKUP(V60,FHIR!A:A,FHIR!E:E)</f>
        <v>ImagingStudy.series.numberOfInstances</v>
      </c>
      <c r="X60" t="str">
        <f>IF(LEN(V60)&gt;0,_xlfn.XLOOKUP(V60,FHIR!A:A,FHIR!M:M,""),"")</f>
        <v>EHDSImagingStudy26</v>
      </c>
      <c r="Y60" t="str">
        <f>_xlfn.XLOOKUP(X60,XtEHR!A:A,XtEHR!I:I,"")</f>
        <v>EHDSImagingStudy- series.numberOfInstances</v>
      </c>
    </row>
    <row r="61" spans="1:25" x14ac:dyDescent="0.25">
      <c r="D61" s="22" t="s">
        <v>519</v>
      </c>
      <c r="M61" s="11" t="s">
        <v>992</v>
      </c>
      <c r="N61" s="26" t="str">
        <f t="shared" si="0"/>
        <v>SR-:</v>
      </c>
      <c r="O61" s="11" t="s">
        <v>992</v>
      </c>
      <c r="P61" s="11" t="str">
        <f t="shared" si="1"/>
        <v>--------</v>
      </c>
      <c r="Q61" s="11" t="s">
        <v>992</v>
      </c>
      <c r="R61" s="11" t="str">
        <f t="shared" si="2"/>
        <v/>
      </c>
      <c r="S61" s="11" t="s">
        <v>992</v>
      </c>
      <c r="W61" t="str">
        <f>_xlfn.XLOOKUP(V61,FHIR!A:A,FHIR!E:E)</f>
        <v>--------</v>
      </c>
      <c r="X61" t="str">
        <f>IF(LEN(V61)&gt;0,_xlfn.XLOOKUP(V61,FHIR!A:A,FHIR!M:M,""),"")</f>
        <v/>
      </c>
      <c r="Y61" t="str">
        <f>_xlfn.XLOOKUP(X61,XtEHR!A:A,XtEHR!I:I,"")</f>
        <v/>
      </c>
    </row>
    <row r="62" spans="1:25" ht="15.75" x14ac:dyDescent="0.25">
      <c r="D62" s="23"/>
      <c r="M62" s="11" t="s">
        <v>992</v>
      </c>
      <c r="N62" s="26" t="str">
        <f t="shared" si="0"/>
        <v>SR-:</v>
      </c>
      <c r="O62" s="11" t="s">
        <v>992</v>
      </c>
      <c r="P62" s="11" t="str">
        <f t="shared" si="1"/>
        <v>--------</v>
      </c>
      <c r="Q62" s="11" t="s">
        <v>992</v>
      </c>
      <c r="R62" s="11" t="str">
        <f t="shared" si="2"/>
        <v/>
      </c>
      <c r="S62" s="11" t="s">
        <v>992</v>
      </c>
      <c r="W62" t="str">
        <f>_xlfn.XLOOKUP(V62,FHIR!A:A,FHIR!E:E)</f>
        <v>--------</v>
      </c>
      <c r="X62" t="str">
        <f>IF(LEN(V62)&gt;0,_xlfn.XLOOKUP(V62,FHIR!A:A,FHIR!M:M,""),"")</f>
        <v/>
      </c>
      <c r="Y62" t="str">
        <f>_xlfn.XLOOKUP(X62,XtEHR!A:A,XtEHR!I:I,"")</f>
        <v/>
      </c>
    </row>
    <row r="63" spans="1:25" x14ac:dyDescent="0.25">
      <c r="M63" s="11" t="s">
        <v>992</v>
      </c>
      <c r="N63" s="26" t="str">
        <f t="shared" si="0"/>
        <v>SR-:</v>
      </c>
      <c r="O63" s="11" t="s">
        <v>992</v>
      </c>
      <c r="P63" s="11" t="str">
        <f t="shared" si="1"/>
        <v>--------</v>
      </c>
      <c r="Q63" s="11" t="s">
        <v>992</v>
      </c>
      <c r="R63" s="11" t="str">
        <f t="shared" si="2"/>
        <v/>
      </c>
      <c r="S63" s="11" t="s">
        <v>992</v>
      </c>
      <c r="W63" t="str">
        <f>_xlfn.XLOOKUP(V63,FHIR!A:A,FHIR!E:E)</f>
        <v>--------</v>
      </c>
      <c r="X63" t="str">
        <f>IF(LEN(V63)&gt;0,_xlfn.XLOOKUP(V63,FHIR!A:A,FHIR!M:M,""),"")</f>
        <v/>
      </c>
      <c r="Y63" t="str">
        <f>_xlfn.XLOOKUP(X63,XtEHR!A:A,XtEHR!I:I,"")</f>
        <v/>
      </c>
    </row>
    <row r="64" spans="1:25" x14ac:dyDescent="0.25">
      <c r="M64" s="11" t="s">
        <v>992</v>
      </c>
      <c r="N64" s="26" t="str">
        <f t="shared" si="0"/>
        <v>SR-:</v>
      </c>
      <c r="O64" s="11" t="s">
        <v>992</v>
      </c>
      <c r="P64" s="11" t="str">
        <f t="shared" si="1"/>
        <v>--------</v>
      </c>
      <c r="Q64" s="11" t="s">
        <v>992</v>
      </c>
      <c r="R64" s="11" t="str">
        <f t="shared" si="2"/>
        <v/>
      </c>
      <c r="S64" s="11" t="s">
        <v>992</v>
      </c>
      <c r="W64" t="str">
        <f>_xlfn.XLOOKUP(V64,FHIR!A:A,FHIR!E:E)</f>
        <v>--------</v>
      </c>
      <c r="X64" t="str">
        <f>IF(LEN(V64)&gt;0,_xlfn.XLOOKUP(V64,FHIR!A:A,FHIR!M:M,""),"")</f>
        <v/>
      </c>
      <c r="Y64" t="str">
        <f>_xlfn.XLOOKUP(X64,XtEHR!A:A,XtEHR!I:I,"")</f>
        <v/>
      </c>
    </row>
    <row r="65" spans="13:25" x14ac:dyDescent="0.25">
      <c r="M65" s="11" t="s">
        <v>992</v>
      </c>
      <c r="N65" s="26" t="str">
        <f t="shared" si="0"/>
        <v>SR-:</v>
      </c>
      <c r="O65" s="11" t="s">
        <v>992</v>
      </c>
      <c r="P65" s="11" t="str">
        <f t="shared" si="1"/>
        <v>--------</v>
      </c>
      <c r="Q65" s="11" t="s">
        <v>992</v>
      </c>
      <c r="R65" s="11" t="str">
        <f t="shared" si="2"/>
        <v/>
      </c>
      <c r="S65" s="11" t="s">
        <v>992</v>
      </c>
      <c r="W65" t="str">
        <f>_xlfn.XLOOKUP(V65,FHIR!A:A,FHIR!E:E)</f>
        <v>--------</v>
      </c>
      <c r="X65" t="str">
        <f>IF(LEN(V65)&gt;0,_xlfn.XLOOKUP(V65,FHIR!A:A,FHIR!M:M,""),"")</f>
        <v/>
      </c>
      <c r="Y65" t="str">
        <f>_xlfn.XLOOKUP(X65,XtEHR!A:A,XtEHR!I:I,"")</f>
        <v/>
      </c>
    </row>
    <row r="66" spans="13:25" x14ac:dyDescent="0.25">
      <c r="M66" s="11" t="s">
        <v>992</v>
      </c>
      <c r="N66" s="26" t="str">
        <f t="shared" si="0"/>
        <v>SR-:</v>
      </c>
      <c r="O66" s="11" t="s">
        <v>992</v>
      </c>
      <c r="P66" s="11" t="str">
        <f t="shared" si="1"/>
        <v/>
      </c>
      <c r="Q66" s="11" t="s">
        <v>992</v>
      </c>
      <c r="R66" s="11" t="str">
        <f t="shared" si="2"/>
        <v/>
      </c>
      <c r="S66" s="11" t="s">
        <v>992</v>
      </c>
      <c r="X66" t="str">
        <f>IF(LEN(V66)&gt;0,_xlfn.XLOOKUP(V66,FHIR!A:A,FHIR!M:M,""),"")</f>
        <v/>
      </c>
      <c r="Y66" t="str">
        <f>_xlfn.XLOOKUP(X66,XtEHR!A:A,XtEHR!I:I,"")</f>
        <v/>
      </c>
    </row>
    <row r="67" spans="13:25" x14ac:dyDescent="0.25">
      <c r="M67" s="11" t="s">
        <v>992</v>
      </c>
      <c r="N67" s="26" t="str">
        <f t="shared" si="0"/>
        <v>SR-:</v>
      </c>
      <c r="O67" s="11" t="s">
        <v>992</v>
      </c>
      <c r="P67" s="11" t="str">
        <f t="shared" si="1"/>
        <v/>
      </c>
      <c r="Q67" s="11" t="s">
        <v>992</v>
      </c>
      <c r="R67" s="11" t="str">
        <f t="shared" si="2"/>
        <v/>
      </c>
      <c r="S67" s="11" t="s">
        <v>992</v>
      </c>
      <c r="X67" t="str">
        <f>IF(LEN(V67)&gt;0,_xlfn.XLOOKUP(V67,FHIR!A:A,FHIR!M:M,""),"")</f>
        <v/>
      </c>
      <c r="Y67" t="str">
        <f>_xlfn.XLOOKUP(X67,XtEHR!A:A,XtEHR!I:I,"")</f>
        <v/>
      </c>
    </row>
    <row r="68" spans="13:25" x14ac:dyDescent="0.25">
      <c r="M68" s="11" t="s">
        <v>992</v>
      </c>
      <c r="N68" s="26" t="str">
        <f t="shared" ref="N68:N89" si="3">"SR-"&amp;A68&amp;":"&amp;B68&amp;F68</f>
        <v>SR-:</v>
      </c>
      <c r="O68" s="11" t="s">
        <v>992</v>
      </c>
      <c r="P68" s="11" t="str">
        <f t="shared" ref="P68:P81" si="4">T(W68)</f>
        <v/>
      </c>
      <c r="Q68" s="11" t="s">
        <v>992</v>
      </c>
      <c r="R68" s="11" t="str">
        <f t="shared" ref="R68:R81" si="5">T(Y68)</f>
        <v/>
      </c>
      <c r="S68" s="11" t="s">
        <v>992</v>
      </c>
      <c r="X68" t="str">
        <f>IF(LEN(V68)&gt;0,_xlfn.XLOOKUP(V68,FHIR!A:A,FHIR!M:M,""),"")</f>
        <v/>
      </c>
      <c r="Y68" t="str">
        <f>_xlfn.XLOOKUP(X68,XtEHR!A:A,XtEHR!I:I,"")</f>
        <v/>
      </c>
    </row>
    <row r="69" spans="13:25" x14ac:dyDescent="0.25">
      <c r="M69" s="11" t="s">
        <v>992</v>
      </c>
      <c r="N69" s="26" t="str">
        <f t="shared" si="3"/>
        <v>SR-:</v>
      </c>
      <c r="O69" s="11" t="s">
        <v>992</v>
      </c>
      <c r="P69" s="11" t="str">
        <f t="shared" si="4"/>
        <v/>
      </c>
      <c r="Q69" s="11" t="s">
        <v>992</v>
      </c>
      <c r="R69" s="11" t="str">
        <f t="shared" si="5"/>
        <v/>
      </c>
      <c r="S69" s="11" t="s">
        <v>992</v>
      </c>
      <c r="X69" t="str">
        <f>IF(LEN(V69)&gt;0,_xlfn.XLOOKUP(V69,FHIR!A:A,FHIR!M:M,""),"")</f>
        <v/>
      </c>
      <c r="Y69" t="str">
        <f>_xlfn.XLOOKUP(X69,XtEHR!A:A,XtEHR!I:I,"")</f>
        <v/>
      </c>
    </row>
    <row r="70" spans="13:25" x14ac:dyDescent="0.25">
      <c r="M70" s="11" t="s">
        <v>992</v>
      </c>
      <c r="N70" s="26" t="str">
        <f t="shared" si="3"/>
        <v>SR-:</v>
      </c>
      <c r="O70" s="11" t="s">
        <v>992</v>
      </c>
      <c r="P70" s="11" t="str">
        <f t="shared" si="4"/>
        <v/>
      </c>
      <c r="Q70" s="11" t="s">
        <v>992</v>
      </c>
      <c r="R70" s="11" t="str">
        <f t="shared" si="5"/>
        <v/>
      </c>
      <c r="S70" s="11" t="s">
        <v>992</v>
      </c>
      <c r="X70" t="str">
        <f>IF(LEN(V70)&gt;0,_xlfn.XLOOKUP(V70,FHIR!A:A,FHIR!M:M,""),"")</f>
        <v/>
      </c>
      <c r="Y70" t="str">
        <f>_xlfn.XLOOKUP(X70,XtEHR!A:A,XtEHR!I:I,"")</f>
        <v/>
      </c>
    </row>
    <row r="71" spans="13:25" x14ac:dyDescent="0.25">
      <c r="M71" s="11" t="s">
        <v>992</v>
      </c>
      <c r="N71" s="26" t="str">
        <f t="shared" si="3"/>
        <v>SR-:</v>
      </c>
      <c r="O71" s="11" t="s">
        <v>992</v>
      </c>
      <c r="P71" s="11" t="str">
        <f t="shared" si="4"/>
        <v/>
      </c>
      <c r="Q71" s="11" t="s">
        <v>992</v>
      </c>
      <c r="R71" s="11" t="str">
        <f t="shared" si="5"/>
        <v/>
      </c>
      <c r="S71" s="11" t="s">
        <v>992</v>
      </c>
      <c r="X71" t="str">
        <f>IF(LEN(V71)&gt;0,_xlfn.XLOOKUP(V71,FHIR!A:A,FHIR!M:M,""),"")</f>
        <v/>
      </c>
      <c r="Y71" t="str">
        <f>_xlfn.XLOOKUP(X71,XtEHR!A:A,XtEHR!I:I,"")</f>
        <v/>
      </c>
    </row>
    <row r="72" spans="13:25" x14ac:dyDescent="0.25">
      <c r="M72" s="11" t="s">
        <v>992</v>
      </c>
      <c r="N72" s="26" t="str">
        <f t="shared" si="3"/>
        <v>SR-:</v>
      </c>
      <c r="O72" s="11" t="s">
        <v>992</v>
      </c>
      <c r="P72" s="11" t="str">
        <f t="shared" si="4"/>
        <v/>
      </c>
      <c r="Q72" s="11" t="s">
        <v>992</v>
      </c>
      <c r="R72" s="11" t="str">
        <f t="shared" si="5"/>
        <v/>
      </c>
      <c r="S72" s="11" t="s">
        <v>992</v>
      </c>
      <c r="X72" t="str">
        <f>IF(LEN(V72)&gt;0,_xlfn.XLOOKUP(V72,FHIR!A:A,FHIR!M:M,""),"")</f>
        <v/>
      </c>
      <c r="Y72" t="str">
        <f>_xlfn.XLOOKUP(X72,XtEHR!A:A,XtEHR!I:I,"")</f>
        <v/>
      </c>
    </row>
    <row r="73" spans="13:25" x14ac:dyDescent="0.25">
      <c r="M73" s="11" t="s">
        <v>992</v>
      </c>
      <c r="N73" s="26" t="str">
        <f t="shared" si="3"/>
        <v>SR-:</v>
      </c>
      <c r="O73" s="11" t="s">
        <v>992</v>
      </c>
      <c r="P73" s="11" t="str">
        <f t="shared" si="4"/>
        <v/>
      </c>
      <c r="Q73" s="11" t="s">
        <v>992</v>
      </c>
      <c r="R73" s="11" t="str">
        <f t="shared" si="5"/>
        <v/>
      </c>
      <c r="S73" s="11" t="s">
        <v>992</v>
      </c>
      <c r="X73" t="str">
        <f>IF(LEN(V73)&gt;0,_xlfn.XLOOKUP(V73,FHIR!A:A,FHIR!M:M,""),"")</f>
        <v/>
      </c>
      <c r="Y73" t="str">
        <f>_xlfn.XLOOKUP(X73,XtEHR!A:A,XtEHR!I:I,"")</f>
        <v/>
      </c>
    </row>
    <row r="74" spans="13:25" x14ac:dyDescent="0.25">
      <c r="M74" s="11" t="s">
        <v>992</v>
      </c>
      <c r="N74" s="26" t="str">
        <f t="shared" si="3"/>
        <v>SR-:</v>
      </c>
      <c r="O74" s="11" t="s">
        <v>992</v>
      </c>
      <c r="P74" s="11" t="str">
        <f t="shared" si="4"/>
        <v/>
      </c>
      <c r="Q74" s="11" t="s">
        <v>992</v>
      </c>
      <c r="R74" s="11" t="str">
        <f t="shared" si="5"/>
        <v/>
      </c>
      <c r="S74" s="11" t="s">
        <v>992</v>
      </c>
      <c r="X74" t="str">
        <f>IF(LEN(V74)&gt;0,_xlfn.XLOOKUP(V74,FHIR!A:A,FHIR!M:M,""),"")</f>
        <v/>
      </c>
      <c r="Y74" t="str">
        <f>_xlfn.XLOOKUP(X74,XtEHR!A:A,XtEHR!I:I,"")</f>
        <v/>
      </c>
    </row>
    <row r="75" spans="13:25" x14ac:dyDescent="0.25">
      <c r="M75" s="11" t="s">
        <v>992</v>
      </c>
      <c r="N75" s="26" t="str">
        <f t="shared" si="3"/>
        <v>SR-:</v>
      </c>
      <c r="O75" s="11" t="s">
        <v>992</v>
      </c>
      <c r="P75" s="11" t="str">
        <f t="shared" si="4"/>
        <v/>
      </c>
      <c r="Q75" s="11" t="s">
        <v>992</v>
      </c>
      <c r="R75" s="11" t="str">
        <f t="shared" si="5"/>
        <v/>
      </c>
      <c r="S75" s="11" t="s">
        <v>992</v>
      </c>
      <c r="X75" t="str">
        <f>IF(LEN(V75)&gt;0,_xlfn.XLOOKUP(V75,FHIR!A:A,FHIR!M:M,""),"")</f>
        <v/>
      </c>
      <c r="Y75" t="str">
        <f>_xlfn.XLOOKUP(X75,XtEHR!A:A,XtEHR!I:I,"")</f>
        <v/>
      </c>
    </row>
    <row r="76" spans="13:25" x14ac:dyDescent="0.25">
      <c r="M76" s="11" t="s">
        <v>992</v>
      </c>
      <c r="N76" s="26" t="str">
        <f t="shared" si="3"/>
        <v>SR-:</v>
      </c>
      <c r="O76" s="11" t="s">
        <v>992</v>
      </c>
      <c r="P76" s="11" t="str">
        <f t="shared" si="4"/>
        <v/>
      </c>
      <c r="Q76" s="11" t="s">
        <v>992</v>
      </c>
      <c r="R76" s="11" t="str">
        <f t="shared" si="5"/>
        <v/>
      </c>
      <c r="S76" s="11" t="s">
        <v>992</v>
      </c>
      <c r="X76" t="str">
        <f>IF(LEN(V76)&gt;0,_xlfn.XLOOKUP(V76,FHIR!A:A,FHIR!M:M,""),"")</f>
        <v/>
      </c>
      <c r="Y76" t="str">
        <f>_xlfn.XLOOKUP(X76,XtEHR!A:A,XtEHR!I:I,"")</f>
        <v/>
      </c>
    </row>
    <row r="77" spans="13:25" x14ac:dyDescent="0.25">
      <c r="M77" s="11" t="s">
        <v>992</v>
      </c>
      <c r="N77" s="26" t="str">
        <f t="shared" si="3"/>
        <v>SR-:</v>
      </c>
      <c r="O77" s="11" t="s">
        <v>992</v>
      </c>
      <c r="P77" s="11" t="str">
        <f t="shared" si="4"/>
        <v/>
      </c>
      <c r="Q77" s="11" t="s">
        <v>992</v>
      </c>
      <c r="R77" s="11" t="str">
        <f t="shared" si="5"/>
        <v/>
      </c>
      <c r="S77" s="11" t="s">
        <v>992</v>
      </c>
      <c r="X77" t="str">
        <f>IF(LEN(V77)&gt;0,_xlfn.XLOOKUP(V77,FHIR!A:A,FHIR!M:M,""),"")</f>
        <v/>
      </c>
      <c r="Y77" t="str">
        <f>_xlfn.XLOOKUP(X77,XtEHR!A:A,XtEHR!I:I,"")</f>
        <v/>
      </c>
    </row>
    <row r="78" spans="13:25" x14ac:dyDescent="0.25">
      <c r="M78" s="11" t="s">
        <v>992</v>
      </c>
      <c r="N78" s="26" t="str">
        <f t="shared" si="3"/>
        <v>SR-:</v>
      </c>
      <c r="O78" s="11" t="s">
        <v>992</v>
      </c>
      <c r="P78" s="11" t="str">
        <f t="shared" si="4"/>
        <v/>
      </c>
      <c r="Q78" s="11" t="s">
        <v>992</v>
      </c>
      <c r="R78" s="11" t="str">
        <f t="shared" si="5"/>
        <v/>
      </c>
      <c r="S78" s="11" t="s">
        <v>992</v>
      </c>
      <c r="X78" t="str">
        <f>IF(LEN(V78)&gt;0,_xlfn.XLOOKUP(V78,FHIR!A:A,FHIR!M:M,""),"")</f>
        <v/>
      </c>
      <c r="Y78" t="str">
        <f>_xlfn.XLOOKUP(X78,XtEHR!A:A,XtEHR!I:I,"")</f>
        <v/>
      </c>
    </row>
    <row r="79" spans="13:25" x14ac:dyDescent="0.25">
      <c r="M79" s="11" t="s">
        <v>992</v>
      </c>
      <c r="N79" s="26" t="str">
        <f t="shared" si="3"/>
        <v>SR-:</v>
      </c>
      <c r="O79" s="11" t="s">
        <v>992</v>
      </c>
      <c r="P79" s="11" t="str">
        <f t="shared" si="4"/>
        <v/>
      </c>
      <c r="Q79" s="11" t="s">
        <v>992</v>
      </c>
      <c r="R79" s="11" t="str">
        <f t="shared" si="5"/>
        <v/>
      </c>
      <c r="S79" s="11" t="s">
        <v>992</v>
      </c>
      <c r="X79" t="str">
        <f>IF(LEN(V79)&gt;0,_xlfn.XLOOKUP(V79,FHIR!A:A,FHIR!M:M,""),"")</f>
        <v/>
      </c>
      <c r="Y79" t="str">
        <f>_xlfn.XLOOKUP(X79,XtEHR!A:A,XtEHR!I:I,"")</f>
        <v/>
      </c>
    </row>
    <row r="80" spans="13:25" x14ac:dyDescent="0.25">
      <c r="M80" s="11" t="s">
        <v>992</v>
      </c>
      <c r="N80" s="26" t="str">
        <f t="shared" si="3"/>
        <v>SR-:</v>
      </c>
      <c r="O80" s="11" t="s">
        <v>992</v>
      </c>
      <c r="P80" s="11" t="str">
        <f t="shared" si="4"/>
        <v/>
      </c>
      <c r="Q80" s="11" t="s">
        <v>992</v>
      </c>
      <c r="R80" s="11" t="str">
        <f t="shared" si="5"/>
        <v/>
      </c>
      <c r="S80" s="11" t="s">
        <v>992</v>
      </c>
      <c r="X80" t="str">
        <f>IF(LEN(V80)&gt;0,_xlfn.XLOOKUP(V80,FHIR!A:A,FHIR!M:M,""),"")</f>
        <v/>
      </c>
      <c r="Y80" t="str">
        <f>_xlfn.XLOOKUP(X80,XtEHR!A:A,XtEHR!I:I,"")</f>
        <v/>
      </c>
    </row>
    <row r="81" spans="13:25" x14ac:dyDescent="0.25">
      <c r="M81" s="11" t="s">
        <v>992</v>
      </c>
      <c r="N81" s="26" t="str">
        <f t="shared" si="3"/>
        <v>SR-:</v>
      </c>
      <c r="O81" s="11" t="s">
        <v>992</v>
      </c>
      <c r="P81" s="11" t="str">
        <f t="shared" si="4"/>
        <v/>
      </c>
      <c r="Q81" s="11" t="s">
        <v>992</v>
      </c>
      <c r="R81" s="11" t="str">
        <f t="shared" si="5"/>
        <v/>
      </c>
      <c r="S81" s="11" t="s">
        <v>992</v>
      </c>
      <c r="X81" t="str">
        <f>IF(LEN(V81)&gt;0,_xlfn.XLOOKUP(V81,FHIR!A:A,FHIR!M:M,""),"")</f>
        <v/>
      </c>
      <c r="Y81" t="str">
        <f>_xlfn.XLOOKUP(X81,XtEHR!A:A,XtEHR!I:I,"")</f>
        <v/>
      </c>
    </row>
    <row r="82" spans="13:25" x14ac:dyDescent="0.25">
      <c r="N82" s="26" t="str">
        <f t="shared" si="3"/>
        <v>SR-:</v>
      </c>
      <c r="X82" t="str">
        <f>IF(LEN(V82)&gt;0,_xlfn.XLOOKUP(V82,FHIR!A:A,FHIR!M:M,""),"")</f>
        <v/>
      </c>
      <c r="Y82" t="str">
        <f>_xlfn.XLOOKUP(X82,XtEHR!A:A,XtEHR!I:I,"")</f>
        <v/>
      </c>
    </row>
    <row r="83" spans="13:25" x14ac:dyDescent="0.25">
      <c r="N83" s="26" t="str">
        <f t="shared" si="3"/>
        <v>SR-:</v>
      </c>
      <c r="X83" t="str">
        <f>IF(LEN(V83)&gt;0,_xlfn.XLOOKUP(V83,FHIR!A:A,FHIR!M:M,""),"")</f>
        <v/>
      </c>
      <c r="Y83" t="str">
        <f>_xlfn.XLOOKUP(X83,XtEHR!A:A,XtEHR!I:I,"")</f>
        <v/>
      </c>
    </row>
    <row r="84" spans="13:25" x14ac:dyDescent="0.25">
      <c r="N84" s="26" t="str">
        <f t="shared" si="3"/>
        <v>SR-:</v>
      </c>
      <c r="X84" t="str">
        <f>IF(LEN(V84)&gt;0,_xlfn.XLOOKUP(V84,FHIR!A:A,FHIR!M:M,""),"")</f>
        <v/>
      </c>
      <c r="Y84" t="str">
        <f>_xlfn.XLOOKUP(X84,XtEHR!A:A,XtEHR!I:I,"")</f>
        <v/>
      </c>
    </row>
    <row r="85" spans="13:25" x14ac:dyDescent="0.25">
      <c r="N85" s="26" t="str">
        <f t="shared" si="3"/>
        <v>SR-:</v>
      </c>
      <c r="X85" t="str">
        <f>IF(LEN(V85)&gt;0,_xlfn.XLOOKUP(V85,FHIR!A:A,FHIR!M:M,""),"")</f>
        <v/>
      </c>
      <c r="Y85" t="str">
        <f>_xlfn.XLOOKUP(X85,XtEHR!A:A,XtEHR!I:I,"")</f>
        <v/>
      </c>
    </row>
    <row r="86" spans="13:25" x14ac:dyDescent="0.25">
      <c r="N86" s="26" t="str">
        <f t="shared" si="3"/>
        <v>SR-:</v>
      </c>
      <c r="X86" t="str">
        <f>IF(LEN(V86)&gt;0,_xlfn.XLOOKUP(V86,FHIR!A:A,FHIR!M:M,""),"")</f>
        <v/>
      </c>
      <c r="Y86" t="str">
        <f>_xlfn.XLOOKUP(X86,XtEHR!A:A,XtEHR!I:I,"")</f>
        <v/>
      </c>
    </row>
    <row r="87" spans="13:25" x14ac:dyDescent="0.25">
      <c r="N87" s="26" t="str">
        <f t="shared" si="3"/>
        <v>SR-:</v>
      </c>
      <c r="X87" t="str">
        <f>IF(LEN(V87)&gt;0,_xlfn.XLOOKUP(V87,FHIR!A:A,FHIR!M:M,""),"")</f>
        <v/>
      </c>
      <c r="Y87" t="str">
        <f>_xlfn.XLOOKUP(X87,XtEHR!A:A,XtEHR!I:I,"")</f>
        <v/>
      </c>
    </row>
    <row r="88" spans="13:25" x14ac:dyDescent="0.25">
      <c r="N88" s="26" t="str">
        <f t="shared" si="3"/>
        <v>SR-:</v>
      </c>
      <c r="X88" t="str">
        <f>IF(LEN(V88)&gt;0,_xlfn.XLOOKUP(V88,FHIR!A:A,FHIR!M:M,""),"")</f>
        <v/>
      </c>
      <c r="Y88" t="str">
        <f>_xlfn.XLOOKUP(X88,XtEHR!A:A,XtEHR!I:I,"")</f>
        <v/>
      </c>
    </row>
    <row r="89" spans="13:25" x14ac:dyDescent="0.25">
      <c r="N89" s="26" t="str">
        <f t="shared" si="3"/>
        <v>SR-:</v>
      </c>
      <c r="X89" t="str">
        <f>IF(LEN(V89)&gt;0,_xlfn.XLOOKUP(V89,FHIR!A:A,FHIR!M:M,""),"")</f>
        <v/>
      </c>
      <c r="Y89" t="str">
        <f>_xlfn.XLOOKUP(X89,XtEHR!A:A,XtEHR!I:I,"")</f>
        <v/>
      </c>
    </row>
    <row r="90" spans="13:25" x14ac:dyDescent="0.25">
      <c r="X90" t="str">
        <f>IF(LEN(V90)&gt;0,_xlfn.XLOOKUP(V90,FHIR!A:A,FHIR!M:M,""),"")</f>
        <v/>
      </c>
      <c r="Y90" t="str">
        <f>_xlfn.XLOOKUP(X90,XtEHR!A:A,XtEHR!I:I,"")</f>
        <v/>
      </c>
    </row>
    <row r="91" spans="13:25" x14ac:dyDescent="0.25">
      <c r="X91" t="str">
        <f>IF(LEN(V91)&gt;0,_xlfn.XLOOKUP(V91,FHIR!A:A,FHIR!M:M,""),"")</f>
        <v/>
      </c>
      <c r="Y91" t="str">
        <f>_xlfn.XLOOKUP(X91,XtEHR!A:A,XtEHR!I:I,"")</f>
        <v/>
      </c>
    </row>
    <row r="92" spans="13:25" x14ac:dyDescent="0.25">
      <c r="X92" t="str">
        <f>IF(LEN(V92)&gt;0,_xlfn.XLOOKUP(V92,FHIR!A:A,FHIR!M:M,""),"")</f>
        <v/>
      </c>
      <c r="Y92" t="str">
        <f>_xlfn.XLOOKUP(X92,XtEHR!A:A,XtEHR!I:I,"")</f>
        <v/>
      </c>
    </row>
    <row r="93" spans="13:25" x14ac:dyDescent="0.25">
      <c r="X93" t="str">
        <f>IF(LEN(V93)&gt;0,_xlfn.XLOOKUP(V93,FHIR!A:A,FHIR!M:M,""),"")</f>
        <v/>
      </c>
      <c r="Y93" t="str">
        <f>_xlfn.XLOOKUP(X93,XtEHR!A:A,XtEHR!I:I,"")</f>
        <v/>
      </c>
    </row>
    <row r="94" spans="13:25" x14ac:dyDescent="0.25">
      <c r="X94" t="str">
        <f>IF(LEN(V94)&gt;0,_xlfn.XLOOKUP(V94,FHIR!A:A,FHIR!M:M,""),"")</f>
        <v/>
      </c>
      <c r="Y94" t="str">
        <f>_xlfn.XLOOKUP(X94,XtEHR!A:A,XtEHR!I:I,"")</f>
        <v/>
      </c>
    </row>
    <row r="95" spans="13:25" x14ac:dyDescent="0.25">
      <c r="X95" t="str">
        <f>IF(LEN(V95)&gt;0,_xlfn.XLOOKUP(V95,FHIR!A:A,FHIR!M:M,""),"")</f>
        <v/>
      </c>
      <c r="Y95" t="str">
        <f>_xlfn.XLOOKUP(X95,XtEHR!A:A,XtEHR!I:I,"")</f>
        <v/>
      </c>
    </row>
    <row r="96" spans="13:25" x14ac:dyDescent="0.25">
      <c r="X96" t="str">
        <f>IF(LEN(V96)&gt;0,_xlfn.XLOOKUP(V96,FHIR!A:A,FHIR!M:M,""),"")</f>
        <v/>
      </c>
      <c r="Y96" t="str">
        <f>_xlfn.XLOOKUP(X96,XtEHR!A:A,XtEHR!I:I,"")</f>
        <v/>
      </c>
    </row>
    <row r="97" spans="24:25" x14ac:dyDescent="0.25">
      <c r="X97" t="str">
        <f>IF(LEN(V97)&gt;0,_xlfn.XLOOKUP(V97,FHIR!A:A,FHIR!M:M,""),"")</f>
        <v/>
      </c>
      <c r="Y97" t="str">
        <f>_xlfn.XLOOKUP(X97,XtEHR!A:A,XtEHR!I:I,"")</f>
        <v/>
      </c>
    </row>
    <row r="98" spans="24:25" x14ac:dyDescent="0.25">
      <c r="X98" t="str">
        <f>IF(LEN(V98)&gt;0,_xlfn.XLOOKUP(V98,FHIR!A:A,FHIR!M:M,""),"")</f>
        <v/>
      </c>
      <c r="Y98" t="str">
        <f>_xlfn.XLOOKUP(X98,XtEHR!A:A,XtEHR!I:I,"")</f>
        <v/>
      </c>
    </row>
    <row r="99" spans="24:25" x14ac:dyDescent="0.25">
      <c r="X99" t="str">
        <f>IF(LEN(V99)&gt;0,_xlfn.XLOOKUP(V99,FHIR!A:A,FHIR!M:M,""),"")</f>
        <v/>
      </c>
      <c r="Y99" t="str">
        <f>_xlfn.XLOOKUP(X99,XtEHR!A:A,XtEHR!I:I,"")</f>
        <v/>
      </c>
    </row>
    <row r="100" spans="24:25" x14ac:dyDescent="0.25">
      <c r="X100" t="str">
        <f>IF(LEN(V100)&gt;0,_xlfn.XLOOKUP(V100,FHIR!A:A,FHIR!M:M,""),"")</f>
        <v/>
      </c>
      <c r="Y100" t="str">
        <f>_xlfn.XLOOKUP(X100,XtEHR!A:A,XtEHR!I:I,"")</f>
        <v/>
      </c>
    </row>
    <row r="101" spans="24:25" x14ac:dyDescent="0.25">
      <c r="X101" t="str">
        <f>IF(LEN(V101)&gt;0,_xlfn.XLOOKUP(V101,FHIR!A:A,FHIR!M:M,""),"")</f>
        <v/>
      </c>
      <c r="Y101" t="str">
        <f>_xlfn.XLOOKUP(X101,XtEHR!A:A,XtEHR!I:I,"")</f>
        <v/>
      </c>
    </row>
    <row r="102" spans="24:25" x14ac:dyDescent="0.25">
      <c r="X102" t="str">
        <f>IF(LEN(V102)&gt;0,_xlfn.XLOOKUP(V102,FHIR!A:A,FHIR!M:M,""),"")</f>
        <v/>
      </c>
      <c r="Y102" t="str">
        <f>_xlfn.XLOOKUP(X102,XtEHR!A:A,XtEHR!I:I,"")</f>
        <v/>
      </c>
    </row>
    <row r="103" spans="24:25" x14ac:dyDescent="0.25">
      <c r="X103" t="str">
        <f>IF(LEN(V103)&gt;0,_xlfn.XLOOKUP(V103,FHIR!A:A,FHIR!M:M,""),"")</f>
        <v/>
      </c>
      <c r="Y103" t="str">
        <f>_xlfn.XLOOKUP(X103,XtEHR!A:A,XtEHR!I:I,"")</f>
        <v/>
      </c>
    </row>
    <row r="104" spans="24:25" x14ac:dyDescent="0.25">
      <c r="Y104" t="str">
        <f>_xlfn.XLOOKUP(X104,XtEHR!A:A,XtEHR!I:I,"")</f>
        <v>-----------</v>
      </c>
    </row>
    <row r="105" spans="24:25" x14ac:dyDescent="0.25">
      <c r="Y105" t="str">
        <f>_xlfn.XLOOKUP(X105,XtEHR!A:A,XtEHR!I:I,"")</f>
        <v>-----------</v>
      </c>
    </row>
    <row r="106" spans="24:25" x14ac:dyDescent="0.25">
      <c r="Y106" t="str">
        <f>_xlfn.XLOOKUP(X106,XtEHR!A:A,XtEHR!I:I,"")</f>
        <v>-----------</v>
      </c>
    </row>
    <row r="107" spans="24:25" x14ac:dyDescent="0.25">
      <c r="Y107" t="str">
        <f>_xlfn.XLOOKUP(X107,XtEHR!A:A,XtEHR!I:I,"")</f>
        <v>-----------</v>
      </c>
    </row>
    <row r="108" spans="24:25" x14ac:dyDescent="0.25">
      <c r="Y108" t="str">
        <f>_xlfn.XLOOKUP(X108,XtEHR!A:A,XtEHR!I:I,"")</f>
        <v>-----------</v>
      </c>
    </row>
    <row r="109" spans="24:25" x14ac:dyDescent="0.25">
      <c r="Y109" t="str">
        <f>_xlfn.XLOOKUP(X109,XtEHR!A:A,XtEHR!I:I,"")</f>
        <v>-----------</v>
      </c>
    </row>
    <row r="110" spans="24:25" x14ac:dyDescent="0.25">
      <c r="Y110" t="str">
        <f>_xlfn.XLOOKUP(X110,XtEHR!A:A,XtEHR!I:I,"")</f>
        <v>-----------</v>
      </c>
    </row>
    <row r="111" spans="24:25" x14ac:dyDescent="0.25">
      <c r="Y111" t="str">
        <f>_xlfn.XLOOKUP(X111,XtEHR!A:A,XtEHR!I:I,"")</f>
        <v>-----------</v>
      </c>
    </row>
    <row r="112" spans="24:25" x14ac:dyDescent="0.25">
      <c r="Y112" t="str">
        <f>_xlfn.XLOOKUP(X112,XtEHR!A:A,XtEHR!I:I,"")</f>
        <v>-----------</v>
      </c>
    </row>
    <row r="113" spans="25:25" x14ac:dyDescent="0.25">
      <c r="Y113" t="str">
        <f>_xlfn.XLOOKUP(X113,XtEHR!A:A,XtEHR!I:I,"")</f>
        <v>-----------</v>
      </c>
    </row>
    <row r="114" spans="25:25" x14ac:dyDescent="0.25">
      <c r="Y114" t="str">
        <f>_xlfn.XLOOKUP(X114,XtEHR!A:A,XtEHR!I:I,"")</f>
        <v>-----------</v>
      </c>
    </row>
    <row r="115" spans="25:25" x14ac:dyDescent="0.25">
      <c r="Y115" t="str">
        <f>_xlfn.XLOOKUP(X115,XtEHR!A:A,XtEHR!I:I,"")</f>
        <v>-----------</v>
      </c>
    </row>
    <row r="116" spans="25:25" x14ac:dyDescent="0.25">
      <c r="Y116" t="str">
        <f>_xlfn.XLOOKUP(X116,XtEHR!A:A,XtEHR!I:I,"")</f>
        <v>-----------</v>
      </c>
    </row>
    <row r="117" spans="25:25" x14ac:dyDescent="0.25">
      <c r="Y117" t="str">
        <f>_xlfn.XLOOKUP(X117,XtEHR!A:A,XtEHR!I:I,"")</f>
        <v>-----------</v>
      </c>
    </row>
    <row r="118" spans="25:25" x14ac:dyDescent="0.25">
      <c r="Y118" t="str">
        <f>_xlfn.XLOOKUP(X118,XtEHR!A:A,XtEHR!I:I,"")</f>
        <v>-----------</v>
      </c>
    </row>
    <row r="119" spans="25:25" x14ac:dyDescent="0.25">
      <c r="Y119" t="str">
        <f>_xlfn.XLOOKUP(X119,XtEHR!A:A,XtEHR!I:I,"")</f>
        <v>-----------</v>
      </c>
    </row>
    <row r="120" spans="25:25" x14ac:dyDescent="0.25">
      <c r="Y120" t="str">
        <f>_xlfn.XLOOKUP(X120,XtEHR!A:A,XtEHR!I:I,"")</f>
        <v>-----------</v>
      </c>
    </row>
    <row r="121" spans="25:25" x14ac:dyDescent="0.25">
      <c r="Y121" t="str">
        <f>_xlfn.XLOOKUP(X121,XtEHR!A:A,XtEHR!I:I,"")</f>
        <v>-----------</v>
      </c>
    </row>
  </sheetData>
  <hyperlinks>
    <hyperlink ref="F20" location="bookmark=id.u3iazr6nz9l5" display="bookmark=id.u3iazr6nz9l5" xr:uid="{27CB585E-A687-44FA-9B4B-64F3840859E7}"/>
    <hyperlink ref="F22" location="bookmark=id.u3iazr6nz9l5" display="bookmark=id.u3iazr6nz9l5" xr:uid="{E10E8B65-93FB-4365-931C-6D7823EF289B}"/>
    <hyperlink ref="F23" location="bookmark=id.u3iazr6nz9l5" display="bookmark=id.u3iazr6nz9l5" xr:uid="{F7C4C22E-246E-40E2-8D0F-FDB531B7E5CC}"/>
    <hyperlink ref="F53" location="bookmark=id.tgcxqc79h4r" display="bookmark=id.tgcxqc79h4r" xr:uid="{9BB1FCE8-F98D-4877-832D-9E6736D1C4D6}"/>
    <hyperlink ref="F54" location="bookmark=id.gfsyb6fbdx04" display="bookmark=id.gfsyb6fbdx04" xr:uid="{9236A185-4163-4430-9C98-0377B6BB6593}"/>
    <hyperlink ref="F58" location="bookmark=id.u3iazr6nz9l5" display="bookmark=id.u3iazr6nz9l5" xr:uid="{25B48EA7-547D-47EC-B8F3-522ADE6DA864}"/>
    <hyperlink ref="F59" location="bookmark=id.u3iazr6nz9l5" display="bookmark=id.u3iazr6nz9l5" xr:uid="{AD7A6E0F-3D11-457A-BB76-6637E9B45B16}"/>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2FFF-C7D0-4D40-B809-5CF7624AD3B5}">
  <dimension ref="A1:N262"/>
  <sheetViews>
    <sheetView topLeftCell="D1" workbookViewId="0">
      <pane ySplit="1" topLeftCell="A11" activePane="bottomLeft" state="frozen"/>
      <selection pane="bottomLeft" activeCell="G43" sqref="G43"/>
    </sheetView>
    <sheetView topLeftCell="A16" zoomScale="85" zoomScaleNormal="85" workbookViewId="1">
      <selection activeCell="C33" sqref="C33"/>
    </sheetView>
  </sheetViews>
  <sheetFormatPr defaultRowHeight="15" x14ac:dyDescent="0.25"/>
  <cols>
    <col min="1" max="1" width="26" bestFit="1" customWidth="1"/>
    <col min="2" max="2" width="26.42578125" bestFit="1" customWidth="1"/>
    <col min="3" max="3" width="62" style="15" customWidth="1"/>
    <col min="4" max="4" width="2.140625" bestFit="1" customWidth="1"/>
    <col min="5" max="5" width="58.85546875" style="15" customWidth="1"/>
    <col min="6" max="6" width="2.140625" bestFit="1" customWidth="1"/>
    <col min="7" max="7" width="24.42578125" style="15" customWidth="1"/>
    <col min="8" max="8" width="2.140625" bestFit="1" customWidth="1"/>
    <col min="9" max="9" width="22.85546875" style="15" customWidth="1"/>
    <col min="10" max="10" width="2.140625" bestFit="1" customWidth="1"/>
    <col min="11" max="11" width="12.42578125" style="15" customWidth="1"/>
    <col min="12" max="12" width="2.140625" bestFit="1" customWidth="1"/>
    <col min="13" max="13" width="19.85546875" bestFit="1" customWidth="1"/>
    <col min="14" max="14" width="64.7109375" bestFit="1" customWidth="1"/>
  </cols>
  <sheetData>
    <row r="1" spans="1:14" s="27" customFormat="1" ht="18" thickBot="1" x14ac:dyDescent="0.35">
      <c r="A1" s="27" t="s">
        <v>576</v>
      </c>
      <c r="B1" s="27" t="s">
        <v>577</v>
      </c>
      <c r="C1" s="29"/>
      <c r="D1" s="11" t="s">
        <v>992</v>
      </c>
      <c r="E1" s="29" t="s">
        <v>285</v>
      </c>
      <c r="F1" s="11" t="s">
        <v>992</v>
      </c>
      <c r="G1" s="29" t="s">
        <v>279</v>
      </c>
      <c r="H1" s="11" t="s">
        <v>992</v>
      </c>
      <c r="I1" s="29" t="s">
        <v>996</v>
      </c>
      <c r="J1" s="11" t="s">
        <v>992</v>
      </c>
      <c r="K1" s="29" t="s">
        <v>578</v>
      </c>
      <c r="L1" s="11" t="s">
        <v>992</v>
      </c>
      <c r="M1" s="27" t="s">
        <v>578</v>
      </c>
    </row>
    <row r="2" spans="1:14" s="27" customFormat="1" ht="18.75" thickTop="1" thickBot="1" x14ac:dyDescent="0.35">
      <c r="C2" s="29"/>
      <c r="D2" s="11" t="s">
        <v>992</v>
      </c>
      <c r="E2" s="36" t="s">
        <v>994</v>
      </c>
      <c r="F2" s="11" t="s">
        <v>992</v>
      </c>
      <c r="G2" s="36" t="s">
        <v>994</v>
      </c>
      <c r="H2" s="11" t="s">
        <v>992</v>
      </c>
      <c r="I2" s="36" t="s">
        <v>994</v>
      </c>
      <c r="J2" s="11" t="s">
        <v>992</v>
      </c>
      <c r="K2" s="36" t="s">
        <v>994</v>
      </c>
      <c r="L2" s="11" t="s">
        <v>992</v>
      </c>
      <c r="M2" s="36" t="s">
        <v>994</v>
      </c>
    </row>
    <row r="3" spans="1:14" ht="15.75" thickTop="1" x14ac:dyDescent="0.25">
      <c r="A3" t="s">
        <v>574</v>
      </c>
      <c r="B3" t="s">
        <v>45</v>
      </c>
      <c r="D3" s="11" t="s">
        <v>992</v>
      </c>
      <c r="E3" s="15" t="str">
        <f>IF(LEN(C3)&gt;0,B3&amp;"."&amp;C3,"")</f>
        <v/>
      </c>
      <c r="F3" s="11" t="s">
        <v>992</v>
      </c>
      <c r="G3" s="15" t="str">
        <f>_xlfn.XLOOKUP(A3,KOS!Z:Z,KOS!N:N,"")</f>
        <v/>
      </c>
      <c r="H3" s="11" t="s">
        <v>992</v>
      </c>
      <c r="I3" s="15" t="str">
        <f>_xlfn.XLOOKUP(A3,'KOS SR'!V:V,'KOS SR'!N:N,"")</f>
        <v/>
      </c>
      <c r="J3" s="11" t="s">
        <v>992</v>
      </c>
      <c r="K3" s="28" t="str">
        <f>_xlfn.IFNA(VLOOKUP($M3, XtEHR!A:F,2,FALSE)&amp;"."&amp;TRIM(VLOOKUP($M3, XtEHR!A:F,3,FALSE)),"-")</f>
        <v>-</v>
      </c>
      <c r="L3" s="11" t="s">
        <v>992</v>
      </c>
    </row>
    <row r="4" spans="1:14" x14ac:dyDescent="0.25">
      <c r="A4" t="s">
        <v>575</v>
      </c>
      <c r="B4" t="s">
        <v>45</v>
      </c>
      <c r="D4" s="11" t="s">
        <v>992</v>
      </c>
      <c r="E4" s="15" t="str">
        <f t="shared" ref="E4:E70" si="0">IF(LEN(C4)&gt;0,B4&amp;"."&amp;C4,"")</f>
        <v/>
      </c>
      <c r="F4" s="11" t="s">
        <v>992</v>
      </c>
      <c r="G4" s="15" t="str">
        <f>_xlfn.XLOOKUP(A4,KOS!Z:Z,KOS!N:N,"")</f>
        <v/>
      </c>
      <c r="H4" s="11" t="s">
        <v>992</v>
      </c>
      <c r="I4" s="15" t="str">
        <f>_xlfn.XLOOKUP(A4,'KOS SR'!V:V,'KOS SR'!N:N,"")</f>
        <v/>
      </c>
      <c r="J4" s="11" t="s">
        <v>992</v>
      </c>
      <c r="K4" s="28" t="str">
        <f>_xlfn.IFNA(VLOOKUP($M4, XtEHR!A:F,2,FALSE)&amp;"."&amp;TRIM(VLOOKUP($M4, XtEHR!A:F,3,FALSE)),"-")</f>
        <v>-</v>
      </c>
      <c r="L4" s="11" t="s">
        <v>992</v>
      </c>
      <c r="N4" s="28" t="str">
        <f>_xlfn.IFNA(VLOOKUP($M4, XtEHR!A:F,2,FALSE)&amp;"."&amp;TRIM(VLOOKUP($M4, XtEHR!A:F,3,FALSE)),"-")</f>
        <v>-</v>
      </c>
    </row>
    <row r="5" spans="1:14" ht="45" x14ac:dyDescent="0.25">
      <c r="A5" t="s">
        <v>790</v>
      </c>
      <c r="B5" t="s">
        <v>45</v>
      </c>
      <c r="C5" s="15" t="s">
        <v>475</v>
      </c>
      <c r="D5" s="11" t="s">
        <v>992</v>
      </c>
      <c r="E5" s="15" t="str">
        <f t="shared" si="0"/>
        <v>ImagingStudy.identifier[studyInstanceUid]</v>
      </c>
      <c r="F5" s="11" t="s">
        <v>992</v>
      </c>
      <c r="G5" s="15" t="str">
        <f>_xlfn.XLOOKUP(A5,KOS!Z:Z,KOS!N:N,"")</f>
        <v>General Study-StudyInstanceUID</v>
      </c>
      <c r="H5" s="11" t="s">
        <v>992</v>
      </c>
      <c r="I5" s="15" t="str">
        <f>_xlfn.XLOOKUP(A5,'KOS SR'!V:V,'KOS SR'!N:N,"")</f>
        <v>SR-TID1600:EV (ddd011, DCM, “Study Instance UID”)</v>
      </c>
      <c r="J5" s="11" t="s">
        <v>992</v>
      </c>
      <c r="K5" s="28" t="str">
        <f>_xlfn.IFNA(VLOOKUP($M5, XtEHR!A:F,2,FALSE)&amp;"."&amp;TRIM(VLOOKUP($M5, XtEHR!A:F,3,FALSE)),"-")</f>
        <v>EHDSImagingStudy.header.identifier</v>
      </c>
      <c r="L5" s="11" t="s">
        <v>992</v>
      </c>
      <c r="M5" s="1" t="s">
        <v>536</v>
      </c>
    </row>
    <row r="6" spans="1:14" x14ac:dyDescent="0.25">
      <c r="A6" t="s">
        <v>926</v>
      </c>
      <c r="B6" t="s">
        <v>45</v>
      </c>
      <c r="C6" s="15" t="s">
        <v>925</v>
      </c>
      <c r="D6" s="11" t="s">
        <v>992</v>
      </c>
      <c r="E6" s="15" t="str">
        <f t="shared" si="0"/>
        <v>ImagingStudy.identifier[studyUid]</v>
      </c>
      <c r="F6" s="11" t="s">
        <v>992</v>
      </c>
      <c r="G6" s="15" t="str">
        <f>_xlfn.XLOOKUP(A6,KOS!Z:Z,KOS!N:N,"")</f>
        <v>General Study-StudyID</v>
      </c>
      <c r="H6" s="11" t="s">
        <v>992</v>
      </c>
      <c r="I6" s="15" t="str">
        <f>_xlfn.XLOOKUP(A6,'KOS SR'!V:V,'KOS SR'!N:N,"")</f>
        <v/>
      </c>
      <c r="J6" s="11" t="s">
        <v>992</v>
      </c>
      <c r="K6" s="28" t="str">
        <f>_xlfn.IFNA(VLOOKUP($M6, XtEHR!A:F,2,FALSE)&amp;"."&amp;TRIM(VLOOKUP($M6, XtEHR!A:F,3,FALSE)),"-")</f>
        <v>-</v>
      </c>
      <c r="L6" s="11" t="s">
        <v>992</v>
      </c>
      <c r="M6" s="1"/>
      <c r="N6" s="28" t="str">
        <f>_xlfn.IFNA(VLOOKUP($M6, XtEHR!A:F,2,FALSE)&amp;"."&amp;TRIM(VLOOKUP($M6, XtEHR!A:F,3,FALSE)),"-")</f>
        <v>-</v>
      </c>
    </row>
    <row r="7" spans="1:14" x14ac:dyDescent="0.25">
      <c r="A7" t="s">
        <v>791</v>
      </c>
      <c r="B7" t="s">
        <v>45</v>
      </c>
      <c r="C7" s="15" t="s">
        <v>65</v>
      </c>
      <c r="D7" s="11" t="s">
        <v>992</v>
      </c>
      <c r="E7" s="15" t="str">
        <f t="shared" si="0"/>
        <v>ImagingStudy.status</v>
      </c>
      <c r="F7" s="11" t="s">
        <v>992</v>
      </c>
      <c r="G7" s="15" t="str">
        <f>_xlfn.XLOOKUP(A7,KOS!Z:Z,KOS!N:N,"")</f>
        <v/>
      </c>
      <c r="H7" s="11" t="s">
        <v>992</v>
      </c>
      <c r="I7" s="15" t="str">
        <f>_xlfn.XLOOKUP(A7,'KOS SR'!V:V,'KOS SR'!N:N,"")</f>
        <v/>
      </c>
      <c r="J7" s="11" t="s">
        <v>992</v>
      </c>
      <c r="K7" s="28" t="str">
        <f>_xlfn.IFNA(VLOOKUP($M7, XtEHR!A:F,2,FALSE)&amp;"."&amp;TRIM(VLOOKUP($M7, XtEHR!A:F,3,FALSE)),"-")</f>
        <v>EHDSImagingStudy.header.status</v>
      </c>
      <c r="L7" s="11" t="s">
        <v>992</v>
      </c>
      <c r="M7" s="1" t="s">
        <v>541</v>
      </c>
      <c r="N7" s="28" t="str">
        <f>_xlfn.IFNA(VLOOKUP($M7, XtEHR!A:F,2,FALSE)&amp;"."&amp;TRIM(VLOOKUP($M7, XtEHR!A:F,3,FALSE)),"-")</f>
        <v>EHDSImagingStudy.header.status</v>
      </c>
    </row>
    <row r="8" spans="1:14" x14ac:dyDescent="0.25">
      <c r="A8" t="s">
        <v>792</v>
      </c>
      <c r="B8" t="s">
        <v>45</v>
      </c>
      <c r="C8" s="15" t="s">
        <v>66</v>
      </c>
      <c r="D8" s="11" t="s">
        <v>992</v>
      </c>
      <c r="E8" s="15" t="str">
        <f t="shared" si="0"/>
        <v>ImagingStudy.language</v>
      </c>
      <c r="F8" s="11" t="s">
        <v>992</v>
      </c>
      <c r="G8" s="15" t="str">
        <f>_xlfn.XLOOKUP(A8,KOS!Z:Z,KOS!N:N,"")</f>
        <v/>
      </c>
      <c r="H8" s="11" t="s">
        <v>992</v>
      </c>
      <c r="I8" s="15" t="str">
        <f>_xlfn.XLOOKUP(A8,'KOS SR'!V:V,'KOS SR'!N:N,"")</f>
        <v/>
      </c>
      <c r="J8" s="11" t="s">
        <v>992</v>
      </c>
      <c r="K8" s="28" t="str">
        <f>_xlfn.IFNA(VLOOKUP($M8, XtEHR!A:F,2,FALSE)&amp;"."&amp;TRIM(VLOOKUP($M8, XtEHR!A:F,3,FALSE)),"-")</f>
        <v>EHDSImagingStudy.header.language</v>
      </c>
      <c r="L8" s="11" t="s">
        <v>992</v>
      </c>
      <c r="M8" s="1" t="s">
        <v>542</v>
      </c>
      <c r="N8" s="28" t="str">
        <f>_xlfn.IFNA(VLOOKUP($M8, XtEHR!A:F,2,FALSE)&amp;"."&amp;TRIM(VLOOKUP($M8, XtEHR!A:F,3,FALSE)),"-")</f>
        <v>EHDSImagingStudy.header.language</v>
      </c>
    </row>
    <row r="9" spans="1:14" ht="30" x14ac:dyDescent="0.25">
      <c r="A9" t="s">
        <v>793</v>
      </c>
      <c r="B9" t="s">
        <v>45</v>
      </c>
      <c r="C9" s="15" t="s">
        <v>67</v>
      </c>
      <c r="D9" s="11" t="s">
        <v>992</v>
      </c>
      <c r="E9" s="15" t="str">
        <f t="shared" si="0"/>
        <v>ImagingStudy.modality</v>
      </c>
      <c r="F9" s="11" t="s">
        <v>992</v>
      </c>
      <c r="G9" s="15" t="str">
        <f>_xlfn.XLOOKUP(A9,KOS!Z:Z,KOS!N:N,"")</f>
        <v>General Study-Modality</v>
      </c>
      <c r="H9" s="11" t="s">
        <v>992</v>
      </c>
      <c r="I9" s="15" t="str">
        <f>_xlfn.XLOOKUP(A9,'KOS SR'!V:V,'KOS SR'!N:N,"")</f>
        <v>SR-TID1600:EV (121139, DCM, "Modality")</v>
      </c>
      <c r="J9" s="11" t="s">
        <v>992</v>
      </c>
      <c r="K9" s="28" t="str">
        <f>_xlfn.IFNA(VLOOKUP($M9, XtEHR!A:F,2,FALSE)&amp;"."&amp;TRIM(VLOOKUP($M9, XtEHR!A:F,3,FALSE)),"-")</f>
        <v>EHDSImagingStudy.modality</v>
      </c>
      <c r="L9" s="11" t="s">
        <v>992</v>
      </c>
      <c r="M9" s="1" t="s">
        <v>543</v>
      </c>
      <c r="N9" s="28" t="str">
        <f>_xlfn.IFNA(VLOOKUP($M9, XtEHR!A:F,2,FALSE)&amp;"."&amp;TRIM(VLOOKUP($M9, XtEHR!A:F,3,FALSE)),"-")</f>
        <v>EHDSImagingStudy.modality</v>
      </c>
    </row>
    <row r="10" spans="1:14" ht="30" x14ac:dyDescent="0.25">
      <c r="A10" t="s">
        <v>794</v>
      </c>
      <c r="B10" t="s">
        <v>45</v>
      </c>
      <c r="C10" s="15" t="s">
        <v>579</v>
      </c>
      <c r="D10" s="11" t="s">
        <v>992</v>
      </c>
      <c r="E10" s="15" t="str">
        <f t="shared" si="0"/>
        <v>ImagingStudy.extension[anatomical]</v>
      </c>
      <c r="F10" s="11" t="s">
        <v>992</v>
      </c>
      <c r="G10" s="15" t="str">
        <f>_xlfn.XLOOKUP(A10,KOS!Z:Z,KOS!N:N,"")</f>
        <v/>
      </c>
      <c r="H10" s="11" t="s">
        <v>992</v>
      </c>
      <c r="I10" s="15" t="str">
        <f>_xlfn.XLOOKUP(A10,'KOS SR'!V:V,'KOS SR'!N:N,"")</f>
        <v>SR-TID1600:EV (123014, DCM, "Target Region")</v>
      </c>
      <c r="J10" s="11" t="s">
        <v>992</v>
      </c>
      <c r="K10" s="28" t="str">
        <f>_xlfn.IFNA(VLOOKUP($M10, XtEHR!A:F,2,FALSE)&amp;"."&amp;TRIM(VLOOKUP($M10, XtEHR!A:F,3,FALSE)),"-")</f>
        <v>EHDSImagingStudy.bodySite</v>
      </c>
      <c r="L10" s="11" t="s">
        <v>992</v>
      </c>
      <c r="M10" s="1" t="s">
        <v>544</v>
      </c>
      <c r="N10" s="28" t="str">
        <f>_xlfn.IFNA(VLOOKUP($M10, XtEHR!A:F,2,FALSE)&amp;"."&amp;TRIM(VLOOKUP($M10, XtEHR!A:F,3,FALSE)),"-")</f>
        <v>EHDSImagingStudy.bodySite</v>
      </c>
    </row>
    <row r="11" spans="1:14" ht="30" x14ac:dyDescent="0.25">
      <c r="A11" t="s">
        <v>987</v>
      </c>
      <c r="B11" t="s">
        <v>45</v>
      </c>
      <c r="C11" s="15" t="s">
        <v>476</v>
      </c>
      <c r="D11" s="11" t="s">
        <v>992</v>
      </c>
      <c r="E11" s="15" t="str">
        <f t="shared" si="0"/>
        <v>ImagingStudy.extension[anatomical].text</v>
      </c>
      <c r="F11" s="11" t="s">
        <v>992</v>
      </c>
      <c r="G11" s="15" t="str">
        <f>_xlfn.XLOOKUP(A11,KOS!Z:Z,KOS!N:N,"")</f>
        <v/>
      </c>
      <c r="H11" s="11" t="s">
        <v>992</v>
      </c>
      <c r="I11" s="15" t="str">
        <f>_xlfn.XLOOKUP(A11,'KOS SR'!V:V,'KOS SR'!N:N,"")</f>
        <v>SR-TID1600:EV (123014, DCM, "Target Region")</v>
      </c>
      <c r="J11" s="11" t="s">
        <v>992</v>
      </c>
      <c r="K11" s="28" t="str">
        <f>_xlfn.IFNA(VLOOKUP($M11, XtEHR!A:F,2,FALSE)&amp;"."&amp;TRIM(VLOOKUP($M11, XtEHR!A:F,3,FALSE)),"-")</f>
        <v>EHDSImagingStudy.bodySite</v>
      </c>
      <c r="L11" s="11" t="s">
        <v>992</v>
      </c>
      <c r="M11" s="1" t="s">
        <v>544</v>
      </c>
      <c r="N11" s="28" t="str">
        <f>_xlfn.IFNA(VLOOKUP($M11, XtEHR!A:F,2,FALSE)&amp;"."&amp;TRIM(VLOOKUP($M11, XtEHR!A:F,3,FALSE)),"-")</f>
        <v>EHDSImagingStudy.bodySite</v>
      </c>
    </row>
    <row r="12" spans="1:14" x14ac:dyDescent="0.25">
      <c r="A12" t="s">
        <v>795</v>
      </c>
      <c r="B12" t="s">
        <v>45</v>
      </c>
      <c r="C12" s="15" t="s">
        <v>46</v>
      </c>
      <c r="D12" s="11" t="s">
        <v>992</v>
      </c>
      <c r="E12" s="15" t="str">
        <f t="shared" si="0"/>
        <v>ImagingStudy.subject</v>
      </c>
      <c r="F12" s="11" t="s">
        <v>992</v>
      </c>
      <c r="G12" s="15" t="str">
        <f>_xlfn.XLOOKUP(A12,KOS!Z:Z,KOS!N:N,"")</f>
        <v/>
      </c>
      <c r="H12" s="11" t="s">
        <v>992</v>
      </c>
      <c r="I12" s="15" t="str">
        <f>_xlfn.XLOOKUP(A12,'KOS SR'!V:V,'KOS SR'!N:N,"")</f>
        <v/>
      </c>
      <c r="J12" s="11" t="s">
        <v>992</v>
      </c>
      <c r="K12" s="28" t="str">
        <f>_xlfn.IFNA(VLOOKUP($M12, XtEHR!A:F,2,FALSE)&amp;"."&amp;TRIM(VLOOKUP($M12, XtEHR!A:F,3,FALSE)),"-")</f>
        <v>EHDSImagingStudy.header.subject</v>
      </c>
      <c r="L12" s="11" t="s">
        <v>992</v>
      </c>
      <c r="M12" s="1" t="s">
        <v>535</v>
      </c>
      <c r="N12" s="28" t="str">
        <f>_xlfn.IFNA(VLOOKUP($M12, XtEHR!A:F,2,FALSE)&amp;"."&amp;TRIM(VLOOKUP($M12, XtEHR!A:F,3,FALSE)),"-")</f>
        <v>EHDSImagingStudy.header.subject</v>
      </c>
    </row>
    <row r="13" spans="1:14" x14ac:dyDescent="0.25">
      <c r="A13" t="s">
        <v>796</v>
      </c>
      <c r="B13" t="s">
        <v>45</v>
      </c>
      <c r="C13" s="15" t="s">
        <v>69</v>
      </c>
      <c r="D13" s="11" t="s">
        <v>992</v>
      </c>
      <c r="E13" s="15" t="str">
        <f t="shared" si="0"/>
        <v>ImagingStudy.encounter</v>
      </c>
      <c r="F13" s="11" t="s">
        <v>992</v>
      </c>
      <c r="G13" s="15" t="str">
        <f>_xlfn.XLOOKUP(A13,KOS!Z:Z,KOS!N:N,"")</f>
        <v/>
      </c>
      <c r="H13" s="11" t="s">
        <v>992</v>
      </c>
      <c r="I13" s="15" t="str">
        <f>_xlfn.XLOOKUP(A13,'KOS SR'!V:V,'KOS SR'!N:N,"")</f>
        <v/>
      </c>
      <c r="J13" s="11" t="s">
        <v>992</v>
      </c>
      <c r="K13" s="28" t="str">
        <f>_xlfn.IFNA(VLOOKUP($M13, XtEHR!A:F,2,FALSE)&amp;"."&amp;TRIM(VLOOKUP($M13, XtEHR!A:F,3,FALSE)),"-")</f>
        <v>EHDSImagingStudy.encounter</v>
      </c>
      <c r="L13" s="11" t="s">
        <v>992</v>
      </c>
      <c r="M13" s="1" t="s">
        <v>545</v>
      </c>
      <c r="N13" s="28" t="str">
        <f>_xlfn.IFNA(VLOOKUP($M13, XtEHR!A:F,2,FALSE)&amp;"."&amp;TRIM(VLOOKUP($M13, XtEHR!A:F,3,FALSE)),"-")</f>
        <v>EHDSImagingStudy.encounter</v>
      </c>
    </row>
    <row r="14" spans="1:14" x14ac:dyDescent="0.25">
      <c r="A14" t="s">
        <v>797</v>
      </c>
      <c r="B14" t="s">
        <v>45</v>
      </c>
      <c r="C14" s="15" t="s">
        <v>70</v>
      </c>
      <c r="D14" s="11" t="s">
        <v>992</v>
      </c>
      <c r="E14" s="15" t="str">
        <f t="shared" si="0"/>
        <v>ImagingStudy.started</v>
      </c>
      <c r="F14" s="11" t="s">
        <v>992</v>
      </c>
      <c r="G14" s="15" t="str">
        <f>_xlfn.XLOOKUP(A14,KOS!Z:Z,KOS!N:N,"")</f>
        <v>General Study-StudyDate</v>
      </c>
      <c r="H14" s="11" t="s">
        <v>992</v>
      </c>
      <c r="I14" s="15" t="str">
        <f>_xlfn.XLOOKUP(A14,'KOS SR'!V:V,'KOS SR'!N:N,"")</f>
        <v/>
      </c>
      <c r="J14" s="11" t="s">
        <v>992</v>
      </c>
      <c r="K14" s="28" t="str">
        <f>_xlfn.IFNA(VLOOKUP($M14, XtEHR!A:F,2,FALSE)&amp;"."&amp;TRIM(VLOOKUP($M14, XtEHR!A:F,3,FALSE)),"-")</f>
        <v>EHDSImagingStudy.started</v>
      </c>
      <c r="L14" s="11" t="s">
        <v>992</v>
      </c>
      <c r="M14" s="1" t="s">
        <v>546</v>
      </c>
      <c r="N14" s="28" t="str">
        <f>_xlfn.IFNA(VLOOKUP($M14, XtEHR!A:F,2,FALSE)&amp;"."&amp;TRIM(VLOOKUP($M14, XtEHR!A:F,3,FALSE)),"-")</f>
        <v>EHDSImagingStudy.started</v>
      </c>
    </row>
    <row r="15" spans="1:14" x14ac:dyDescent="0.25">
      <c r="A15" t="s">
        <v>798</v>
      </c>
      <c r="B15" t="s">
        <v>45</v>
      </c>
      <c r="C15" s="15" t="s">
        <v>71</v>
      </c>
      <c r="D15" s="11" t="s">
        <v>992</v>
      </c>
      <c r="E15" s="15" t="str">
        <f t="shared" si="0"/>
        <v>ImagingStudy.basedOn</v>
      </c>
      <c r="F15" s="11" t="s">
        <v>992</v>
      </c>
      <c r="G15" s="15" t="str">
        <f>_xlfn.XLOOKUP(A15,KOS!Z:Z,KOS!N:N,"")</f>
        <v/>
      </c>
      <c r="H15" s="11" t="s">
        <v>992</v>
      </c>
      <c r="I15" s="15" t="str">
        <f>_xlfn.XLOOKUP(A15,'KOS SR'!V:V,'KOS SR'!N:N,"")</f>
        <v/>
      </c>
      <c r="J15" s="11" t="s">
        <v>992</v>
      </c>
      <c r="K15" s="28" t="str">
        <f>_xlfn.IFNA(VLOOKUP($M15, XtEHR!A:F,2,FALSE)&amp;"."&amp;TRIM(VLOOKUP($M15, XtEHR!A:F,3,FALSE)),"-")</f>
        <v>EHDSImagingStudy.basedOn</v>
      </c>
      <c r="L15" s="11" t="s">
        <v>992</v>
      </c>
      <c r="M15" s="1" t="s">
        <v>547</v>
      </c>
      <c r="N15" s="28" t="str">
        <f>_xlfn.IFNA(VLOOKUP($M15, XtEHR!A:F,2,FALSE)&amp;"."&amp;TRIM(VLOOKUP($M15, XtEHR!A:F,3,FALSE)),"-")</f>
        <v>EHDSImagingStudy.basedOn</v>
      </c>
    </row>
    <row r="16" spans="1:14" x14ac:dyDescent="0.25">
      <c r="A16" t="s">
        <v>799</v>
      </c>
      <c r="B16" t="s">
        <v>45</v>
      </c>
      <c r="C16" s="15" t="s">
        <v>580</v>
      </c>
      <c r="D16" s="11" t="s">
        <v>992</v>
      </c>
      <c r="E16" s="15" t="str">
        <f t="shared" si="0"/>
        <v>ImagingStudy.referrer</v>
      </c>
      <c r="F16" s="11" t="s">
        <v>992</v>
      </c>
      <c r="G16" s="15" t="str">
        <f>_xlfn.XLOOKUP(A16,KOS!Z:Z,KOS!N:N,"")</f>
        <v/>
      </c>
      <c r="H16" s="11" t="s">
        <v>992</v>
      </c>
      <c r="I16" s="15" t="str">
        <f>_xlfn.XLOOKUP(A16,'KOS SR'!V:V,'KOS SR'!N:N,"")</f>
        <v/>
      </c>
      <c r="J16" s="11" t="s">
        <v>992</v>
      </c>
      <c r="K16" s="28" t="str">
        <f>_xlfn.IFNA(VLOOKUP($M16, XtEHR!A:F,2,FALSE)&amp;"."&amp;TRIM(VLOOKUP($M16, XtEHR!A:F,3,FALSE)),"-")</f>
        <v>-</v>
      </c>
      <c r="L16" s="11" t="s">
        <v>992</v>
      </c>
      <c r="N16" s="28" t="str">
        <f>_xlfn.IFNA(VLOOKUP($M16, XtEHR!A:F,2,FALSE)&amp;"."&amp;TRIM(VLOOKUP($M16, XtEHR!A:F,3,FALSE)),"-")</f>
        <v>-</v>
      </c>
    </row>
    <row r="17" spans="1:14" x14ac:dyDescent="0.25">
      <c r="A17" t="s">
        <v>800</v>
      </c>
      <c r="B17" t="s">
        <v>45</v>
      </c>
      <c r="C17" s="15" t="s">
        <v>581</v>
      </c>
      <c r="D17" s="11" t="s">
        <v>992</v>
      </c>
      <c r="E17" s="15" t="str">
        <f t="shared" si="0"/>
        <v>ImagingStudy.interpreter</v>
      </c>
      <c r="F17" s="11" t="s">
        <v>992</v>
      </c>
      <c r="G17" s="15" t="str">
        <f>_xlfn.XLOOKUP(A17,KOS!Z:Z,KOS!N:N,"")</f>
        <v/>
      </c>
      <c r="H17" s="11" t="s">
        <v>992</v>
      </c>
      <c r="I17" s="15" t="str">
        <f>_xlfn.XLOOKUP(A17,'KOS SR'!V:V,'KOS SR'!N:N,"")</f>
        <v/>
      </c>
      <c r="J17" s="11" t="s">
        <v>992</v>
      </c>
      <c r="K17" s="28" t="str">
        <f>_xlfn.IFNA(VLOOKUP($M17, XtEHR!A:F,2,FALSE)&amp;"."&amp;TRIM(VLOOKUP($M17, XtEHR!A:F,3,FALSE)),"-")</f>
        <v>-</v>
      </c>
      <c r="L17" s="11" t="s">
        <v>992</v>
      </c>
      <c r="N17" s="28" t="str">
        <f>_xlfn.IFNA(VLOOKUP($M17, XtEHR!A:F,2,FALSE)&amp;"."&amp;TRIM(VLOOKUP($M17, XtEHR!A:F,3,FALSE)),"-")</f>
        <v>-</v>
      </c>
    </row>
    <row r="18" spans="1:14" x14ac:dyDescent="0.25">
      <c r="A18" t="s">
        <v>801</v>
      </c>
      <c r="B18" t="s">
        <v>45</v>
      </c>
      <c r="C18" s="15" t="s">
        <v>86</v>
      </c>
      <c r="D18" s="11" t="s">
        <v>992</v>
      </c>
      <c r="E18" s="15" t="str">
        <f t="shared" si="0"/>
        <v>ImagingStudy.endpoint</v>
      </c>
      <c r="F18" s="11" t="s">
        <v>992</v>
      </c>
      <c r="G18" s="15" t="str">
        <f>_xlfn.XLOOKUP(A18,KOS!Z:Z,KOS!N:N,"")</f>
        <v/>
      </c>
      <c r="H18" s="11" t="s">
        <v>992</v>
      </c>
      <c r="I18" s="15" t="str">
        <f>_xlfn.XLOOKUP(A18,'KOS SR'!V:V,'KOS SR'!N:N,"")</f>
        <v/>
      </c>
      <c r="J18" s="11" t="s">
        <v>992</v>
      </c>
      <c r="K18" s="28" t="str">
        <f>_xlfn.IFNA(VLOOKUP($M18, XtEHR!A:F,2,FALSE)&amp;"."&amp;TRIM(VLOOKUP($M18, XtEHR!A:F,3,FALSE)),"-")</f>
        <v>EHDSImagingStudy.studyEndpoint</v>
      </c>
      <c r="L18" s="11" t="s">
        <v>992</v>
      </c>
      <c r="M18" s="1" t="s">
        <v>552</v>
      </c>
      <c r="N18" s="28" t="str">
        <f>_xlfn.IFNA(VLOOKUP($M18, XtEHR!A:F,2,FALSE)&amp;"."&amp;TRIM(VLOOKUP($M18, XtEHR!A:F,3,FALSE)),"-")</f>
        <v>EHDSImagingStudy.studyEndpoint</v>
      </c>
    </row>
    <row r="19" spans="1:14" x14ac:dyDescent="0.25">
      <c r="A19" t="s">
        <v>802</v>
      </c>
      <c r="B19" t="s">
        <v>45</v>
      </c>
      <c r="C19" s="15" t="s">
        <v>72</v>
      </c>
      <c r="D19" s="11" t="s">
        <v>992</v>
      </c>
      <c r="E19" s="15" t="str">
        <f t="shared" si="0"/>
        <v>ImagingStudy.numberOfSeries</v>
      </c>
      <c r="F19" s="11" t="s">
        <v>992</v>
      </c>
      <c r="G19" s="15" t="str">
        <f>_xlfn.XLOOKUP(A19,KOS!Z:Z,KOS!N:N,"")</f>
        <v/>
      </c>
      <c r="H19" s="11" t="s">
        <v>992</v>
      </c>
      <c r="I19" s="15" t="str">
        <f>_xlfn.XLOOKUP(A19,'KOS SR'!V:V,'KOS SR'!N:N,"")</f>
        <v/>
      </c>
      <c r="J19" s="11" t="s">
        <v>992</v>
      </c>
      <c r="K19" s="28" t="str">
        <f>_xlfn.IFNA(VLOOKUP($M19, XtEHR!A:F,2,FALSE)&amp;"."&amp;TRIM(VLOOKUP($M19, XtEHR!A:F,3,FALSE)),"-")</f>
        <v>EHDSImagingStudy.numberOfSeries</v>
      </c>
      <c r="L19" s="11" t="s">
        <v>992</v>
      </c>
      <c r="M19" s="1" t="s">
        <v>548</v>
      </c>
      <c r="N19" s="28" t="str">
        <f>_xlfn.IFNA(VLOOKUP($M19, XtEHR!A:F,2,FALSE)&amp;"."&amp;TRIM(VLOOKUP($M19, XtEHR!A:F,3,FALSE)),"-")</f>
        <v>EHDSImagingStudy.numberOfSeries</v>
      </c>
    </row>
    <row r="20" spans="1:14" x14ac:dyDescent="0.25">
      <c r="A20" t="s">
        <v>803</v>
      </c>
      <c r="B20" t="s">
        <v>45</v>
      </c>
      <c r="C20" s="15" t="s">
        <v>73</v>
      </c>
      <c r="D20" s="11" t="s">
        <v>992</v>
      </c>
      <c r="E20" s="15" t="str">
        <f t="shared" si="0"/>
        <v>ImagingStudy.numberOfInstances</v>
      </c>
      <c r="F20" s="11" t="s">
        <v>992</v>
      </c>
      <c r="G20" s="15" t="str">
        <f>_xlfn.XLOOKUP(A20,KOS!Z:Z,KOS!N:N,"")</f>
        <v/>
      </c>
      <c r="H20" s="11" t="s">
        <v>992</v>
      </c>
      <c r="I20" s="15" t="str">
        <f>_xlfn.XLOOKUP(A20,'KOS SR'!V:V,'KOS SR'!N:N,"")</f>
        <v/>
      </c>
      <c r="J20" s="11" t="s">
        <v>992</v>
      </c>
      <c r="K20" s="28" t="str">
        <f>_xlfn.IFNA(VLOOKUP($M20, XtEHR!A:F,2,FALSE)&amp;"."&amp;TRIM(VLOOKUP($M20, XtEHR!A:F,3,FALSE)),"-")</f>
        <v>EHDSImagingStudy.numberOfInstances</v>
      </c>
      <c r="L20" s="11" t="s">
        <v>992</v>
      </c>
      <c r="M20" s="1" t="s">
        <v>549</v>
      </c>
      <c r="N20" s="28" t="str">
        <f>_xlfn.IFNA(VLOOKUP($M20, XtEHR!A:F,2,FALSE)&amp;"."&amp;TRIM(VLOOKUP($M20, XtEHR!A:F,3,FALSE)),"-")</f>
        <v>EHDSImagingStudy.numberOfInstances</v>
      </c>
    </row>
    <row r="21" spans="1:14" x14ac:dyDescent="0.25">
      <c r="A21" t="s">
        <v>804</v>
      </c>
      <c r="B21" t="s">
        <v>45</v>
      </c>
      <c r="C21" s="15" t="s">
        <v>582</v>
      </c>
      <c r="D21" s="11" t="s">
        <v>992</v>
      </c>
      <c r="E21" s="15" t="str">
        <f t="shared" si="0"/>
        <v>ImagingStudy.procedureReference</v>
      </c>
      <c r="F21" s="11" t="s">
        <v>992</v>
      </c>
      <c r="G21" s="15" t="str">
        <f>_xlfn.XLOOKUP(A21,KOS!Z:Z,KOS!N:N,"")</f>
        <v/>
      </c>
      <c r="H21" s="11" t="s">
        <v>992</v>
      </c>
      <c r="I21" s="15" t="str">
        <f>_xlfn.XLOOKUP(A21,'KOS SR'!V:V,'KOS SR'!N:N,"")</f>
        <v/>
      </c>
      <c r="J21" s="11" t="s">
        <v>992</v>
      </c>
      <c r="K21" s="28" t="str">
        <f>_xlfn.IFNA(VLOOKUP($M21, XtEHR!A:F,2,FALSE)&amp;"."&amp;TRIM(VLOOKUP($M21, XtEHR!A:F,3,FALSE)),"-")</f>
        <v>-</v>
      </c>
      <c r="L21" s="11" t="s">
        <v>992</v>
      </c>
      <c r="N21" s="28" t="str">
        <f>_xlfn.IFNA(VLOOKUP($M21, XtEHR!A:F,2,FALSE)&amp;"."&amp;TRIM(VLOOKUP($M21, XtEHR!A:F,3,FALSE)),"-")</f>
        <v>-</v>
      </c>
    </row>
    <row r="22" spans="1:14" x14ac:dyDescent="0.25">
      <c r="A22" t="s">
        <v>805</v>
      </c>
      <c r="B22" t="s">
        <v>45</v>
      </c>
      <c r="C22" s="15" t="s">
        <v>583</v>
      </c>
      <c r="D22" s="11" t="s">
        <v>992</v>
      </c>
      <c r="E22" s="15" t="str">
        <f t="shared" si="0"/>
        <v>ImagingStudy.procedureCode</v>
      </c>
      <c r="F22" s="11" t="s">
        <v>992</v>
      </c>
      <c r="G22" s="15" t="str">
        <f>_xlfn.XLOOKUP(A22,KOS!Z:Z,KOS!N:N,"")</f>
        <v/>
      </c>
      <c r="H22" s="11" t="s">
        <v>992</v>
      </c>
      <c r="I22" s="15" t="str">
        <f>_xlfn.XLOOKUP(A22,'KOS SR'!V:V,'KOS SR'!N:N,"")</f>
        <v/>
      </c>
      <c r="J22" s="11" t="s">
        <v>992</v>
      </c>
      <c r="K22" s="28" t="str">
        <f>_xlfn.IFNA(VLOOKUP($M22, XtEHR!A:F,2,FALSE)&amp;"."&amp;TRIM(VLOOKUP($M22, XtEHR!A:F,3,FALSE)),"-")</f>
        <v>-</v>
      </c>
      <c r="L22" s="11" t="s">
        <v>992</v>
      </c>
      <c r="N22" s="28" t="str">
        <f>_xlfn.IFNA(VLOOKUP($M22, XtEHR!A:F,2,FALSE)&amp;"."&amp;TRIM(VLOOKUP($M22, XtEHR!A:F,3,FALSE)),"-")</f>
        <v>-</v>
      </c>
    </row>
    <row r="23" spans="1:14" x14ac:dyDescent="0.25">
      <c r="A23" t="s">
        <v>806</v>
      </c>
      <c r="B23" t="s">
        <v>45</v>
      </c>
      <c r="C23" s="15" t="s">
        <v>584</v>
      </c>
      <c r="D23" s="11" t="s">
        <v>992</v>
      </c>
      <c r="E23" s="15" t="str">
        <f t="shared" si="0"/>
        <v>ImagingStudy.location</v>
      </c>
      <c r="F23" s="11" t="s">
        <v>992</v>
      </c>
      <c r="G23" s="15" t="str">
        <f>_xlfn.XLOOKUP(A23,KOS!Z:Z,KOS!N:N,"")</f>
        <v/>
      </c>
      <c r="H23" s="11" t="s">
        <v>992</v>
      </c>
      <c r="I23" s="15" t="str">
        <f>_xlfn.XLOOKUP(A23,'KOS SR'!V:V,'KOS SR'!N:N,"")</f>
        <v/>
      </c>
      <c r="J23" s="11" t="s">
        <v>992</v>
      </c>
      <c r="K23" s="28" t="str">
        <f>_xlfn.IFNA(VLOOKUP($M23, XtEHR!A:F,2,FALSE)&amp;"."&amp;TRIM(VLOOKUP($M23, XtEHR!A:F,3,FALSE)),"-")</f>
        <v>-</v>
      </c>
      <c r="L23" s="11" t="s">
        <v>992</v>
      </c>
      <c r="N23" s="28" t="str">
        <f>_xlfn.IFNA(VLOOKUP($M23, XtEHR!A:F,2,FALSE)&amp;"."&amp;TRIM(VLOOKUP($M23, XtEHR!A:F,3,FALSE)),"-")</f>
        <v>-</v>
      </c>
    </row>
    <row r="24" spans="1:14" x14ac:dyDescent="0.25">
      <c r="A24" t="s">
        <v>807</v>
      </c>
      <c r="B24" t="s">
        <v>45</v>
      </c>
      <c r="C24" s="15" t="s">
        <v>585</v>
      </c>
      <c r="D24" s="11" t="s">
        <v>992</v>
      </c>
      <c r="E24" s="15" t="str">
        <f t="shared" si="0"/>
        <v>ImagingStudy.reasonCode</v>
      </c>
      <c r="F24" s="11" t="s">
        <v>992</v>
      </c>
      <c r="G24" s="15" t="str">
        <f>_xlfn.XLOOKUP(A24,KOS!Z:Z,KOS!N:N,"")</f>
        <v/>
      </c>
      <c r="H24" s="11" t="s">
        <v>992</v>
      </c>
      <c r="I24" s="15" t="str">
        <f>_xlfn.XLOOKUP(A24,'KOS SR'!V:V,'KOS SR'!N:N,"")</f>
        <v/>
      </c>
      <c r="J24" s="11" t="s">
        <v>992</v>
      </c>
      <c r="K24" s="28" t="str">
        <f>_xlfn.IFNA(VLOOKUP($M24, XtEHR!A:F,2,FALSE)&amp;"."&amp;TRIM(VLOOKUP($M24, XtEHR!A:F,3,FALSE)),"-")</f>
        <v>-</v>
      </c>
      <c r="L24" s="11" t="s">
        <v>992</v>
      </c>
      <c r="N24" s="28" t="str">
        <f>_xlfn.IFNA(VLOOKUP($M24, XtEHR!A:F,2,FALSE)&amp;"."&amp;TRIM(VLOOKUP($M24, XtEHR!A:F,3,FALSE)),"-")</f>
        <v>-</v>
      </c>
    </row>
    <row r="25" spans="1:14" x14ac:dyDescent="0.25">
      <c r="A25" t="s">
        <v>808</v>
      </c>
      <c r="B25" t="s">
        <v>45</v>
      </c>
      <c r="C25" s="15" t="s">
        <v>278</v>
      </c>
      <c r="D25" s="11" t="s">
        <v>992</v>
      </c>
      <c r="E25" s="15" t="str">
        <f t="shared" si="0"/>
        <v>ImagingStudy.reasonReference</v>
      </c>
      <c r="F25" s="11" t="s">
        <v>992</v>
      </c>
      <c r="G25" s="15" t="str">
        <f>_xlfn.XLOOKUP(A25,KOS!Z:Z,KOS!N:N,"")</f>
        <v/>
      </c>
      <c r="H25" s="11" t="s">
        <v>992</v>
      </c>
      <c r="I25" s="15" t="str">
        <f>_xlfn.XLOOKUP(A25,'KOS SR'!V:V,'KOS SR'!N:N,"")</f>
        <v/>
      </c>
      <c r="J25" s="11" t="s">
        <v>992</v>
      </c>
      <c r="K25" s="28" t="str">
        <f>_xlfn.IFNA(VLOOKUP($M25, XtEHR!A:F,2,FALSE)&amp;"."&amp;TRIM(VLOOKUP($M25, XtEHR!A:F,3,FALSE)),"-")</f>
        <v>-</v>
      </c>
      <c r="L25" s="11" t="s">
        <v>992</v>
      </c>
      <c r="N25" s="28" t="str">
        <f>_xlfn.IFNA(VLOOKUP($M25, XtEHR!A:F,2,FALSE)&amp;"."&amp;TRIM(VLOOKUP($M25, XtEHR!A:F,3,FALSE)),"-")</f>
        <v>-</v>
      </c>
    </row>
    <row r="26" spans="1:14" x14ac:dyDescent="0.25">
      <c r="A26" t="s">
        <v>809</v>
      </c>
      <c r="B26" t="s">
        <v>45</v>
      </c>
      <c r="C26" s="15" t="s">
        <v>275</v>
      </c>
      <c r="D26" s="11" t="s">
        <v>992</v>
      </c>
      <c r="E26" s="15" t="str">
        <f t="shared" si="0"/>
        <v>ImagingStudy.note</v>
      </c>
      <c r="F26" s="11" t="s">
        <v>992</v>
      </c>
      <c r="G26" s="15" t="str">
        <f>_xlfn.XLOOKUP(A26,KOS!Z:Z,KOS!N:N,"")</f>
        <v/>
      </c>
      <c r="H26" s="11" t="s">
        <v>992</v>
      </c>
      <c r="I26" s="15" t="str">
        <f>_xlfn.XLOOKUP(A26,'KOS SR'!V:V,'KOS SR'!N:N,"")</f>
        <v/>
      </c>
      <c r="J26" s="11" t="s">
        <v>992</v>
      </c>
      <c r="K26" s="28" t="str">
        <f>_xlfn.IFNA(VLOOKUP($M26, XtEHR!A:F,2,FALSE)&amp;"."&amp;TRIM(VLOOKUP($M26, XtEHR!A:F,3,FALSE)),"-")</f>
        <v>-</v>
      </c>
      <c r="L26" s="11" t="s">
        <v>992</v>
      </c>
      <c r="N26" s="28" t="str">
        <f>_xlfn.IFNA(VLOOKUP($M26, XtEHR!A:F,2,FALSE)&amp;"."&amp;TRIM(VLOOKUP($M26, XtEHR!A:F,3,FALSE)),"-")</f>
        <v>-</v>
      </c>
    </row>
    <row r="27" spans="1:14" ht="45" x14ac:dyDescent="0.25">
      <c r="A27" t="s">
        <v>810</v>
      </c>
      <c r="B27" t="s">
        <v>45</v>
      </c>
      <c r="C27" s="15" t="s">
        <v>74</v>
      </c>
      <c r="D27" s="11" t="s">
        <v>992</v>
      </c>
      <c r="E27" s="15" t="str">
        <f t="shared" si="0"/>
        <v>ImagingStudy.description</v>
      </c>
      <c r="F27" s="11" t="s">
        <v>992</v>
      </c>
      <c r="G27" s="15" t="str">
        <f>_xlfn.XLOOKUP(A27,KOS!Z:Z,KOS!N:N,"")</f>
        <v>General Study-Study Description-Study Description</v>
      </c>
      <c r="H27" s="11" t="s">
        <v>992</v>
      </c>
      <c r="I27" s="15" t="str">
        <f>_xlfn.XLOOKUP(A27,'KOS SR'!V:V,'KOS SR'!N:N,"")</f>
        <v/>
      </c>
      <c r="J27" s="11" t="s">
        <v>992</v>
      </c>
      <c r="K27" s="28" t="str">
        <f>_xlfn.IFNA(VLOOKUP($M27, XtEHR!A:F,2,FALSE)&amp;"."&amp;TRIM(VLOOKUP($M27, XtEHR!A:F,3,FALSE)),"-")</f>
        <v>EHDSImagingStudy.description</v>
      </c>
      <c r="L27" s="11" t="s">
        <v>992</v>
      </c>
      <c r="M27" s="1" t="s">
        <v>550</v>
      </c>
      <c r="N27" s="28" t="str">
        <f>_xlfn.IFNA(VLOOKUP($M27, XtEHR!A:F,2,FALSE)&amp;"."&amp;TRIM(VLOOKUP($M27, XtEHR!A:F,3,FALSE)),"-")</f>
        <v>EHDSImagingStudy.description</v>
      </c>
    </row>
    <row r="28" spans="1:14" ht="45" x14ac:dyDescent="0.25">
      <c r="A28" t="s">
        <v>811</v>
      </c>
      <c r="B28" t="s">
        <v>45</v>
      </c>
      <c r="C28" s="15" t="s">
        <v>75</v>
      </c>
      <c r="D28" s="11" t="s">
        <v>992</v>
      </c>
      <c r="E28" s="15" t="str">
        <f t="shared" si="0"/>
        <v>ImagingStudy.series</v>
      </c>
      <c r="F28" s="11" t="s">
        <v>992</v>
      </c>
      <c r="G28" s="15" t="str">
        <f>_xlfn.XLOOKUP(A28,KOS!Z:Z,KOS!N:N,"")</f>
        <v/>
      </c>
      <c r="H28" s="11" t="s">
        <v>992</v>
      </c>
      <c r="I28" s="15" t="str">
        <f>_xlfn.XLOOKUP(A28,'KOS SR'!V:V,'KOS SR'!N:N,"")</f>
        <v>SR-TID1600:EV (ddd010, DCM, “Number of Study Related Series” </v>
      </c>
      <c r="J28" s="11" t="s">
        <v>992</v>
      </c>
      <c r="K28" s="28" t="str">
        <f>_xlfn.IFNA(VLOOKUP($M28, XtEHR!A:F,2,FALSE)&amp;"."&amp;TRIM(VLOOKUP($M28, XtEHR!A:F,3,FALSE)),"-")</f>
        <v>EHDSImagingStudy.series</v>
      </c>
      <c r="L28" s="11" t="s">
        <v>992</v>
      </c>
      <c r="M28" s="1" t="s">
        <v>553</v>
      </c>
      <c r="N28" s="28" t="str">
        <f>_xlfn.IFNA(VLOOKUP($M28, XtEHR!A:F,2,FALSE)&amp;"."&amp;TRIM(VLOOKUP($M28, XtEHR!A:F,3,FALSE)),"-")</f>
        <v>EHDSImagingStudy.series</v>
      </c>
    </row>
    <row r="29" spans="1:14" ht="90" x14ac:dyDescent="0.25">
      <c r="A29" t="s">
        <v>812</v>
      </c>
      <c r="B29" t="s">
        <v>45</v>
      </c>
      <c r="C29" s="15" t="s">
        <v>88</v>
      </c>
      <c r="D29" s="11" t="s">
        <v>992</v>
      </c>
      <c r="E29" s="15" t="str">
        <f t="shared" si="0"/>
        <v>ImagingStudy.series.uid</v>
      </c>
      <c r="F29" s="11" t="s">
        <v>992</v>
      </c>
      <c r="G29" s="15" t="str">
        <f>_xlfn.XLOOKUP(A29,KOS!Z:Z,KOS!N:N,"")</f>
        <v>Key Object Document-Current Requested Procedure Evidence Sequence-Referenced Series Sequence-Series Instance UID</v>
      </c>
      <c r="H29" s="11" t="s">
        <v>992</v>
      </c>
      <c r="I29" s="15" t="str">
        <f>_xlfn.XLOOKUP(A29,'KOS SR'!V:V,'KOS SR'!N:N,"")</f>
        <v>SR-TID1602:EV (ddd006, DCM, “Series Instance UID”)</v>
      </c>
      <c r="J29" s="11" t="s">
        <v>992</v>
      </c>
      <c r="K29" s="28" t="str">
        <f>_xlfn.IFNA(VLOOKUP($M29, XtEHR!A:F,2,FALSE)&amp;"."&amp;TRIM(VLOOKUP($M29, XtEHR!A:F,3,FALSE)),"-")</f>
        <v>EHDSImagingStudy.series.seriesUid</v>
      </c>
      <c r="L29" s="11" t="s">
        <v>992</v>
      </c>
      <c r="M29" s="1" t="s">
        <v>554</v>
      </c>
      <c r="N29" s="28" t="str">
        <f>_xlfn.IFNA(VLOOKUP($M29, XtEHR!A:F,2,FALSE)&amp;"."&amp;TRIM(VLOOKUP($M29, XtEHR!A:F,3,FALSE)),"-")</f>
        <v>EHDSImagingStudy.series.seriesUid</v>
      </c>
    </row>
    <row r="30" spans="1:14" ht="30" x14ac:dyDescent="0.25">
      <c r="A30" t="s">
        <v>813</v>
      </c>
      <c r="B30" t="s">
        <v>45</v>
      </c>
      <c r="C30" s="15" t="s">
        <v>79</v>
      </c>
      <c r="D30" s="11" t="s">
        <v>992</v>
      </c>
      <c r="E30" s="15" t="str">
        <f t="shared" si="0"/>
        <v>ImagingStudy.series.number</v>
      </c>
      <c r="F30" s="11" t="s">
        <v>992</v>
      </c>
      <c r="G30" s="15" t="str">
        <f>_xlfn.XLOOKUP(A30,KOS!Z:Z,KOS!N:N,"")</f>
        <v>Key Object Document Series-Series Number</v>
      </c>
      <c r="H30" s="11" t="s">
        <v>992</v>
      </c>
      <c r="I30" s="15" t="str">
        <f>_xlfn.XLOOKUP(A30,'KOS SR'!V:V,'KOS SR'!N:N,"")</f>
        <v>SR-TID1602:EV (ddd005, DCM, “Series Number”)</v>
      </c>
      <c r="J30" s="11" t="s">
        <v>992</v>
      </c>
      <c r="K30" s="28" t="str">
        <f>_xlfn.IFNA(VLOOKUP($M30, XtEHR!A:F,2,FALSE)&amp;"."&amp;TRIM(VLOOKUP($M30, XtEHR!A:F,3,FALSE)),"-")</f>
        <v>EHDSImagingStudy.series.number</v>
      </c>
      <c r="L30" s="11" t="s">
        <v>992</v>
      </c>
      <c r="M30" s="1" t="s">
        <v>555</v>
      </c>
      <c r="N30" s="28" t="str">
        <f>_xlfn.IFNA(VLOOKUP($M30, XtEHR!A:F,2,FALSE)&amp;"."&amp;TRIM(VLOOKUP($M30, XtEHR!A:F,3,FALSE)),"-")</f>
        <v>EHDSImagingStudy.series.number</v>
      </c>
    </row>
    <row r="31" spans="1:14" ht="30" x14ac:dyDescent="0.25">
      <c r="A31" t="s">
        <v>814</v>
      </c>
      <c r="B31" t="s">
        <v>45</v>
      </c>
      <c r="C31" s="15" t="s">
        <v>89</v>
      </c>
      <c r="D31" s="11" t="s">
        <v>992</v>
      </c>
      <c r="E31" s="15" t="str">
        <f t="shared" si="0"/>
        <v>ImagingStudy.series.modality</v>
      </c>
      <c r="F31" s="11" t="s">
        <v>992</v>
      </c>
      <c r="G31" s="15" t="str">
        <f>_xlfn.XLOOKUP(A31,KOS!Z:Z,KOS!N:N,"")</f>
        <v>Key Object Document Series-Modality</v>
      </c>
      <c r="H31" s="11" t="s">
        <v>992</v>
      </c>
      <c r="I31" s="15" t="str">
        <f>_xlfn.XLOOKUP(A31,'KOS SR'!V:V,'KOS SR'!N:N,"")</f>
        <v>SR-TID1602:1EV (121139, DCM, "Modality")</v>
      </c>
      <c r="J31" s="11" t="s">
        <v>992</v>
      </c>
      <c r="K31" s="28" t="str">
        <f>_xlfn.IFNA(VLOOKUP($M31, XtEHR!A:F,2,FALSE)&amp;"."&amp;TRIM(VLOOKUP($M31, XtEHR!A:F,3,FALSE)),"-")</f>
        <v>EHDSImagingStudy.series.seriesModality</v>
      </c>
      <c r="L31" s="11" t="s">
        <v>992</v>
      </c>
      <c r="M31" s="1" t="s">
        <v>556</v>
      </c>
      <c r="N31" s="28" t="str">
        <f>_xlfn.IFNA(VLOOKUP($M31, XtEHR!A:F,2,FALSE)&amp;"."&amp;TRIM(VLOOKUP($M31, XtEHR!A:F,3,FALSE)),"-")</f>
        <v>EHDSImagingStudy.series.seriesModality</v>
      </c>
    </row>
    <row r="32" spans="1:14" ht="45" x14ac:dyDescent="0.25">
      <c r="A32" t="s">
        <v>815</v>
      </c>
      <c r="B32" t="s">
        <v>45</v>
      </c>
      <c r="C32" s="15" t="s">
        <v>80</v>
      </c>
      <c r="D32" s="11" t="s">
        <v>992</v>
      </c>
      <c r="E32" s="15" t="str">
        <f t="shared" si="0"/>
        <v>ImagingStudy.series.description</v>
      </c>
      <c r="F32" s="11" t="s">
        <v>992</v>
      </c>
      <c r="G32" s="15" t="str">
        <f>_xlfn.XLOOKUP(A32,KOS!Z:Z,KOS!N:N,"")</f>
        <v>Key Object Document Series-Series Description</v>
      </c>
      <c r="H32" s="11" t="s">
        <v>992</v>
      </c>
      <c r="I32" s="15" t="str">
        <f>_xlfn.XLOOKUP(A32,'KOS SR'!V:V,'KOS SR'!N:N,"")</f>
        <v>SR-TID1602:EV (ddd002, DCM, “Series Description”)</v>
      </c>
      <c r="J32" s="11" t="s">
        <v>992</v>
      </c>
      <c r="K32" s="28" t="str">
        <f>_xlfn.IFNA(VLOOKUP($M32, XtEHR!A:F,2,FALSE)&amp;"."&amp;TRIM(VLOOKUP($M32, XtEHR!A:F,3,FALSE)),"-")</f>
        <v>EHDSImagingStudy.series.description</v>
      </c>
      <c r="L32" s="11" t="s">
        <v>992</v>
      </c>
      <c r="M32" s="1" t="s">
        <v>557</v>
      </c>
      <c r="N32" s="28" t="str">
        <f>_xlfn.IFNA(VLOOKUP($M32, XtEHR!A:F,2,FALSE)&amp;"."&amp;TRIM(VLOOKUP($M32, XtEHR!A:F,3,FALSE)),"-")</f>
        <v>EHDSImagingStudy.series.description</v>
      </c>
    </row>
    <row r="33" spans="1:14" ht="45" x14ac:dyDescent="0.25">
      <c r="A33" t="s">
        <v>816</v>
      </c>
      <c r="B33" t="s">
        <v>45</v>
      </c>
      <c r="C33" s="15" t="s">
        <v>81</v>
      </c>
      <c r="D33" s="11" t="s">
        <v>992</v>
      </c>
      <c r="E33" s="15" t="str">
        <f t="shared" si="0"/>
        <v>ImagingStudy.series.numberOfInstances</v>
      </c>
      <c r="F33" s="11" t="s">
        <v>992</v>
      </c>
      <c r="G33" s="15" t="str">
        <f>_xlfn.XLOOKUP(A33,KOS!Z:Z,KOS!N:N,"")</f>
        <v/>
      </c>
      <c r="H33" s="11" t="s">
        <v>992</v>
      </c>
      <c r="I33" s="15" t="str">
        <f>_xlfn.XLOOKUP(A33,'KOS SR'!V:V,'KOS SR'!N:N,"")</f>
        <v>SR-TID1602:EV (ddd007, DCM, “Number of Series Related Instances”) </v>
      </c>
      <c r="J33" s="11" t="s">
        <v>992</v>
      </c>
      <c r="K33" s="28" t="str">
        <f>_xlfn.IFNA(VLOOKUP($M33, XtEHR!A:F,2,FALSE)&amp;"."&amp;TRIM(VLOOKUP($M33, XtEHR!A:F,3,FALSE)),"-")</f>
        <v>EHDSImagingStudy.series.numberOfInstances</v>
      </c>
      <c r="L33" s="11" t="s">
        <v>992</v>
      </c>
      <c r="M33" s="1" t="s">
        <v>558</v>
      </c>
      <c r="N33" s="28" t="str">
        <f>_xlfn.IFNA(VLOOKUP($M33, XtEHR!A:F,2,FALSE)&amp;"."&amp;TRIM(VLOOKUP($M33, XtEHR!A:F,3,FALSE)),"-")</f>
        <v>EHDSImagingStudy.series.numberOfInstances</v>
      </c>
    </row>
    <row r="34" spans="1:14" x14ac:dyDescent="0.25">
      <c r="A34" t="s">
        <v>817</v>
      </c>
      <c r="B34" t="s">
        <v>45</v>
      </c>
      <c r="C34" s="15" t="s">
        <v>87</v>
      </c>
      <c r="D34" s="11" t="s">
        <v>992</v>
      </c>
      <c r="E34" s="15" t="str">
        <f t="shared" si="0"/>
        <v>ImagingStudy.series.endpoint</v>
      </c>
      <c r="F34" s="11" t="s">
        <v>992</v>
      </c>
      <c r="G34" s="15" t="str">
        <f>_xlfn.XLOOKUP(A34,KOS!Z:Z,KOS!N:N,"")</f>
        <v/>
      </c>
      <c r="H34" s="11" t="s">
        <v>992</v>
      </c>
      <c r="I34" s="15" t="str">
        <f>_xlfn.XLOOKUP(A34,'KOS SR'!V:V,'KOS SR'!N:N,"")</f>
        <v/>
      </c>
      <c r="J34" s="11" t="s">
        <v>992</v>
      </c>
      <c r="K34" s="28" t="str">
        <f>_xlfn.IFNA(VLOOKUP($M34, XtEHR!A:F,2,FALSE)&amp;"."&amp;TRIM(VLOOKUP($M34, XtEHR!A:F,3,FALSE)),"-")</f>
        <v>EHDSImagingStudy.series.seriesEndpoint</v>
      </c>
      <c r="L34" s="11" t="s">
        <v>992</v>
      </c>
      <c r="M34" s="1" t="s">
        <v>559</v>
      </c>
      <c r="N34" s="28" t="str">
        <f>_xlfn.IFNA(VLOOKUP($M34, XtEHR!A:F,2,FALSE)&amp;"."&amp;TRIM(VLOOKUP($M34, XtEHR!A:F,3,FALSE)),"-")</f>
        <v>EHDSImagingStudy.series.seriesEndpoint</v>
      </c>
    </row>
    <row r="35" spans="1:14" ht="30" x14ac:dyDescent="0.25">
      <c r="A35" t="s">
        <v>818</v>
      </c>
      <c r="B35" t="s">
        <v>45</v>
      </c>
      <c r="C35" s="15" t="s">
        <v>82</v>
      </c>
      <c r="D35" s="11" t="s">
        <v>992</v>
      </c>
      <c r="E35" s="15" t="str">
        <f t="shared" si="0"/>
        <v>ImagingStudy.series.bodySite</v>
      </c>
      <c r="F35" s="11" t="s">
        <v>992</v>
      </c>
      <c r="G35" s="15" t="str">
        <f>_xlfn.XLOOKUP(A35,KOS!Z:Z,KOS!N:N,"")</f>
        <v/>
      </c>
      <c r="H35" s="11" t="s">
        <v>992</v>
      </c>
      <c r="I35" s="15" t="str">
        <f>_xlfn.XLOOKUP(A35,'KOS SR'!V:V,'KOS SR'!N:N,"")</f>
        <v>SR-TID1602:EV (123014, DCM, "Target Region")</v>
      </c>
      <c r="J35" s="11" t="s">
        <v>992</v>
      </c>
      <c r="K35" s="28" t="str">
        <f>_xlfn.IFNA(VLOOKUP($M35, XtEHR!A:F,2,FALSE)&amp;"."&amp;TRIM(VLOOKUP($M35, XtEHR!A:F,3,FALSE)),"-")</f>
        <v>EHDSImagingStudy.series.bodySite</v>
      </c>
      <c r="L35" s="11" t="s">
        <v>992</v>
      </c>
      <c r="M35" s="1" t="s">
        <v>560</v>
      </c>
      <c r="N35" s="28" t="str">
        <f>_xlfn.IFNA(VLOOKUP($M35, XtEHR!A:F,2,FALSE)&amp;"."&amp;TRIM(VLOOKUP($M35, XtEHR!A:F,3,FALSE)),"-")</f>
        <v>EHDSImagingStudy.series.bodySite</v>
      </c>
    </row>
    <row r="36" spans="1:14" ht="30" x14ac:dyDescent="0.25">
      <c r="A36" t="s">
        <v>988</v>
      </c>
      <c r="B36" t="s">
        <v>45</v>
      </c>
      <c r="C36" s="15" t="s">
        <v>520</v>
      </c>
      <c r="D36" s="11" t="s">
        <v>992</v>
      </c>
      <c r="E36" s="15" t="str">
        <f t="shared" si="0"/>
        <v>ImagingStudy.series.bodySite.text</v>
      </c>
      <c r="F36" s="11" t="s">
        <v>992</v>
      </c>
      <c r="G36" s="15" t="str">
        <f>_xlfn.XLOOKUP(A36,KOS!Z:Z,KOS!N:N,"")</f>
        <v/>
      </c>
      <c r="H36" s="11" t="s">
        <v>992</v>
      </c>
      <c r="I36" s="15" t="str">
        <f>_xlfn.XLOOKUP(A36,'KOS SR'!V:V,'KOS SR'!N:N,"")</f>
        <v>SR-TID1602:EV (123014, DCM, "Target Region")</v>
      </c>
      <c r="J36" s="11" t="s">
        <v>992</v>
      </c>
      <c r="K36" s="28" t="str">
        <f>_xlfn.IFNA(VLOOKUP($M36, XtEHR!A:F,2,FALSE)&amp;"."&amp;TRIM(VLOOKUP($M36, XtEHR!A:F,3,FALSE)),"-")</f>
        <v>EHDSImagingStudy.series.bodySite</v>
      </c>
      <c r="L36" s="11" t="s">
        <v>992</v>
      </c>
      <c r="M36" s="1" t="s">
        <v>560</v>
      </c>
      <c r="N36" s="28" t="str">
        <f>_xlfn.IFNA(VLOOKUP($M36, XtEHR!A:F,2,FALSE)&amp;"."&amp;TRIM(VLOOKUP($M36, XtEHR!A:F,3,FALSE)),"-")</f>
        <v>EHDSImagingStudy.series.bodySite</v>
      </c>
    </row>
    <row r="37" spans="1:14" x14ac:dyDescent="0.25">
      <c r="A37" t="s">
        <v>819</v>
      </c>
      <c r="B37" t="s">
        <v>45</v>
      </c>
      <c r="C37" s="15" t="s">
        <v>507</v>
      </c>
      <c r="D37" s="11" t="s">
        <v>992</v>
      </c>
      <c r="E37" s="15" t="str">
        <f t="shared" si="0"/>
        <v>ImagingStudy.series.laterality</v>
      </c>
      <c r="F37" s="11" t="s">
        <v>992</v>
      </c>
      <c r="G37" s="15" t="str">
        <f>_xlfn.XLOOKUP(A37,KOS!Z:Z,KOS!N:N,"")</f>
        <v/>
      </c>
      <c r="H37" s="11" t="s">
        <v>992</v>
      </c>
      <c r="I37" s="15" t="str">
        <f>_xlfn.XLOOKUP(A37,'KOS SR'!V:V,'KOS SR'!N:N,"")</f>
        <v/>
      </c>
      <c r="J37" s="11" t="s">
        <v>992</v>
      </c>
      <c r="K37" s="28" t="str">
        <f>_xlfn.IFNA(VLOOKUP($M37, XtEHR!A:F,2,FALSE)&amp;"."&amp;TRIM(VLOOKUP($M37, XtEHR!A:F,3,FALSE)),"-")</f>
        <v>-</v>
      </c>
      <c r="L37" s="11" t="s">
        <v>992</v>
      </c>
      <c r="N37" s="28" t="str">
        <f>_xlfn.IFNA(VLOOKUP($M37, XtEHR!A:F,2,FALSE)&amp;"."&amp;TRIM(VLOOKUP($M37, XtEHR!A:F,3,FALSE)),"-")</f>
        <v>-</v>
      </c>
    </row>
    <row r="38" spans="1:14" x14ac:dyDescent="0.25">
      <c r="A38" t="s">
        <v>820</v>
      </c>
      <c r="B38" t="s">
        <v>45</v>
      </c>
      <c r="C38" s="15" t="s">
        <v>83</v>
      </c>
      <c r="D38" s="11" t="s">
        <v>992</v>
      </c>
      <c r="E38" s="15" t="str">
        <f t="shared" si="0"/>
        <v>ImagingStudy.series.specimen</v>
      </c>
      <c r="F38" s="11" t="s">
        <v>992</v>
      </c>
      <c r="G38" s="15" t="str">
        <f>_xlfn.XLOOKUP(A38,KOS!Z:Z,KOS!N:N,"")</f>
        <v/>
      </c>
      <c r="H38" s="11" t="s">
        <v>992</v>
      </c>
      <c r="I38" s="15" t="str">
        <f>_xlfn.XLOOKUP(A38,'KOS SR'!V:V,'KOS SR'!N:N,"")</f>
        <v/>
      </c>
      <c r="J38" s="11" t="s">
        <v>992</v>
      </c>
      <c r="K38" s="28" t="str">
        <f>_xlfn.IFNA(VLOOKUP($M38, XtEHR!A:F,2,FALSE)&amp;"."&amp;TRIM(VLOOKUP($M38, XtEHR!A:F,3,FALSE)),"-")</f>
        <v>EHDSImagingStudy.series.specimen</v>
      </c>
      <c r="L38" s="11" t="s">
        <v>992</v>
      </c>
      <c r="M38" s="1" t="s">
        <v>561</v>
      </c>
      <c r="N38" s="28" t="str">
        <f>_xlfn.IFNA(VLOOKUP($M38, XtEHR!A:F,2,FALSE)&amp;"."&amp;TRIM(VLOOKUP($M38, XtEHR!A:F,3,FALSE)),"-")</f>
        <v>EHDSImagingStudy.series.specimen</v>
      </c>
    </row>
    <row r="39" spans="1:14" ht="30" x14ac:dyDescent="0.25">
      <c r="A39" t="s">
        <v>821</v>
      </c>
      <c r="B39" t="s">
        <v>45</v>
      </c>
      <c r="C39" s="15" t="s">
        <v>84</v>
      </c>
      <c r="D39" s="11" t="s">
        <v>992</v>
      </c>
      <c r="E39" s="15" t="str">
        <f t="shared" si="0"/>
        <v>ImagingStudy.series.started</v>
      </c>
      <c r="F39" s="11" t="s">
        <v>992</v>
      </c>
      <c r="G39" s="15" t="str">
        <f>_xlfn.XLOOKUP(A39,KOS!Z:Z,KOS!N:N,"")</f>
        <v>Key Object Document Series-Series Date</v>
      </c>
      <c r="H39" s="11" t="s">
        <v>992</v>
      </c>
      <c r="I39" s="15" t="str">
        <f>_xlfn.XLOOKUP(A39,'KOS SR'!V:V,'KOS SR'!N:N,"")</f>
        <v>SR-TID1602:EV (ddd003, DCM, "Series Date")</v>
      </c>
      <c r="J39" s="11" t="s">
        <v>992</v>
      </c>
      <c r="K39" s="28" t="str">
        <f>_xlfn.IFNA(VLOOKUP($M39, XtEHR!A:F,2,FALSE)&amp;"."&amp;TRIM(VLOOKUP($M39, XtEHR!A:F,3,FALSE)),"-")</f>
        <v>EHDSImagingStudy.series.started</v>
      </c>
      <c r="L39" s="11" t="s">
        <v>992</v>
      </c>
      <c r="M39" s="1" t="s">
        <v>562</v>
      </c>
      <c r="N39" s="28" t="str">
        <f>_xlfn.IFNA(VLOOKUP($M39, XtEHR!A:F,2,FALSE)&amp;"."&amp;TRIM(VLOOKUP($M39, XtEHR!A:F,3,FALSE)),"-")</f>
        <v>EHDSImagingStudy.series.started</v>
      </c>
    </row>
    <row r="40" spans="1:14" x14ac:dyDescent="0.25">
      <c r="A40" t="s">
        <v>822</v>
      </c>
      <c r="B40" t="s">
        <v>45</v>
      </c>
      <c r="C40" s="15" t="s">
        <v>586</v>
      </c>
      <c r="D40" s="11" t="s">
        <v>992</v>
      </c>
      <c r="E40" s="15" t="str">
        <f t="shared" si="0"/>
        <v>ImagingStudy.series.performer</v>
      </c>
      <c r="F40" s="11" t="s">
        <v>992</v>
      </c>
      <c r="G40" s="15" t="str">
        <f>_xlfn.XLOOKUP(A40,KOS!Z:Z,KOS!N:N,"")</f>
        <v/>
      </c>
      <c r="H40" s="11" t="s">
        <v>992</v>
      </c>
      <c r="I40" s="15" t="str">
        <f>_xlfn.XLOOKUP(A40,'KOS SR'!V:V,'KOS SR'!N:N,"")</f>
        <v/>
      </c>
      <c r="J40" s="11" t="s">
        <v>992</v>
      </c>
      <c r="K40" s="28" t="str">
        <f>_xlfn.IFNA(VLOOKUP($M40, XtEHR!A:F,2,FALSE)&amp;"."&amp;TRIM(VLOOKUP($M40, XtEHR!A:F,3,FALSE)),"-")</f>
        <v>-</v>
      </c>
      <c r="L40" s="11" t="s">
        <v>992</v>
      </c>
      <c r="N40" s="28" t="str">
        <f>_xlfn.IFNA(VLOOKUP($M40, XtEHR!A:F,2,FALSE)&amp;"."&amp;TRIM(VLOOKUP($M40, XtEHR!A:F,3,FALSE)),"-")</f>
        <v>-</v>
      </c>
    </row>
    <row r="41" spans="1:14" x14ac:dyDescent="0.25">
      <c r="A41" t="s">
        <v>823</v>
      </c>
      <c r="B41" t="s">
        <v>45</v>
      </c>
      <c r="C41" s="15" t="s">
        <v>591</v>
      </c>
      <c r="D41" s="11" t="s">
        <v>992</v>
      </c>
      <c r="E41" s="15" t="str">
        <f t="shared" si="0"/>
        <v>ImagingStudy.series.instance</v>
      </c>
      <c r="F41" s="11" t="s">
        <v>992</v>
      </c>
      <c r="G41" s="15" t="str">
        <f>_xlfn.XLOOKUP(A41,KOS!Z:Z,KOS!N:N,"")</f>
        <v/>
      </c>
      <c r="H41" s="11" t="s">
        <v>992</v>
      </c>
      <c r="I41" s="15" t="str">
        <f>_xlfn.XLOOKUP(A41,'KOS SR'!V:V,'KOS SR'!N:N,"")</f>
        <v/>
      </c>
      <c r="J41" s="11" t="s">
        <v>992</v>
      </c>
      <c r="K41" s="28" t="str">
        <f>_xlfn.IFNA(VLOOKUP($M41, XtEHR!A:F,2,FALSE)&amp;"."&amp;TRIM(VLOOKUP($M41, XtEHR!A:F,3,FALSE)),"-")</f>
        <v>EHDSImagingStudy.series.instancesInTheSeries</v>
      </c>
      <c r="L41" s="11" t="s">
        <v>992</v>
      </c>
      <c r="M41" s="1" t="s">
        <v>563</v>
      </c>
      <c r="N41" s="28" t="str">
        <f>_xlfn.IFNA(VLOOKUP($M41, XtEHR!A:F,2,FALSE)&amp;"."&amp;TRIM(VLOOKUP($M41, XtEHR!A:F,3,FALSE)),"-")</f>
        <v>EHDSImagingStudy.series.instancesInTheSeries</v>
      </c>
    </row>
    <row r="42" spans="1:14" ht="120" x14ac:dyDescent="0.25">
      <c r="A42" t="s">
        <v>824</v>
      </c>
      <c r="B42" t="s">
        <v>45</v>
      </c>
      <c r="C42" s="15" t="s">
        <v>375</v>
      </c>
      <c r="D42" s="11" t="s">
        <v>992</v>
      </c>
      <c r="E42" s="15" t="str">
        <f t="shared" si="0"/>
        <v>ImagingStudy.series.instance.uid</v>
      </c>
      <c r="F42" s="11" t="s">
        <v>992</v>
      </c>
      <c r="G42" s="15" t="str">
        <f>_xlfn.XLOOKUP(A42,KOS!Z:Z,KOS!N:N,"")</f>
        <v>Key Object Document-Current Requested Procedure Evidence Sequence-Referenced Series Sequence-Referenced SOP Sequence-Referenced SOP Instance UID</v>
      </c>
      <c r="H42" s="11" t="s">
        <v>992</v>
      </c>
      <c r="I42" s="15" t="str">
        <f>_xlfn.XLOOKUP(A42,'KOS SR'!V:V,'KOS SR'!N:N,"")</f>
        <v/>
      </c>
      <c r="J42" s="11" t="s">
        <v>992</v>
      </c>
      <c r="K42" s="28" t="str">
        <f>_xlfn.IFNA(VLOOKUP($M42, XtEHR!A:F,2,FALSE)&amp;"."&amp;TRIM(VLOOKUP($M42, XtEHR!A:F,3,FALSE)),"-")</f>
        <v>EHDSImagingStudy.series.instancesInTheSeries.instanceUid</v>
      </c>
      <c r="L42" s="11" t="s">
        <v>992</v>
      </c>
      <c r="M42" s="1" t="s">
        <v>565</v>
      </c>
      <c r="N42" s="28" t="str">
        <f>_xlfn.IFNA(VLOOKUP($M42, XtEHR!A:F,2,FALSE)&amp;"."&amp;TRIM(VLOOKUP($M42, XtEHR!A:F,3,FALSE)),"-")</f>
        <v>EHDSImagingStudy.series.instancesInTheSeries.instanceUid</v>
      </c>
    </row>
    <row r="43" spans="1:14" ht="120" x14ac:dyDescent="0.25">
      <c r="A43" t="s">
        <v>825</v>
      </c>
      <c r="B43" t="s">
        <v>45</v>
      </c>
      <c r="C43" s="15" t="s">
        <v>376</v>
      </c>
      <c r="D43" s="11" t="s">
        <v>992</v>
      </c>
      <c r="E43" s="15" t="str">
        <f t="shared" si="0"/>
        <v>ImagingStudy.series.instance.sopClass</v>
      </c>
      <c r="F43" s="11" t="s">
        <v>992</v>
      </c>
      <c r="G43" s="15" t="str">
        <f>_xlfn.XLOOKUP(A43,KOS!Z:Z,KOS!N:N,"")</f>
        <v>Key Object Document-Current Requested Procedure Evidence Sequence-Referenced Series Sequence-Referenced SOP Sequence-Referenced SOP Class UID</v>
      </c>
      <c r="H43" s="11" t="s">
        <v>992</v>
      </c>
      <c r="I43" s="15" t="str">
        <f>_xlfn.XLOOKUP(A43,'KOS SR'!V:V,'KOS SR'!N:N,"")</f>
        <v/>
      </c>
      <c r="J43" s="11" t="s">
        <v>992</v>
      </c>
      <c r="K43" s="28" t="str">
        <f>_xlfn.IFNA(VLOOKUP($M43, XtEHR!A:F,2,FALSE)&amp;"."&amp;TRIM(VLOOKUP($M43, XtEHR!A:F,3,FALSE)),"-")</f>
        <v>EHDSImagingStudy.series.instancesInTheSeries.sopClass</v>
      </c>
      <c r="L43" s="11" t="s">
        <v>992</v>
      </c>
      <c r="M43" s="1" t="s">
        <v>566</v>
      </c>
      <c r="N43" s="28" t="str">
        <f>_xlfn.IFNA(VLOOKUP($M43, XtEHR!A:F,2,FALSE)&amp;"."&amp;TRIM(VLOOKUP($M43, XtEHR!A:F,3,FALSE)),"-")</f>
        <v>EHDSImagingStudy.series.instancesInTheSeries.sopClass</v>
      </c>
    </row>
    <row r="44" spans="1:14" ht="45" x14ac:dyDescent="0.25">
      <c r="A44" t="s">
        <v>826</v>
      </c>
      <c r="B44" t="s">
        <v>45</v>
      </c>
      <c r="C44" s="15" t="s">
        <v>587</v>
      </c>
      <c r="D44" s="11" t="s">
        <v>992</v>
      </c>
      <c r="E44" s="15" t="str">
        <f t="shared" si="0"/>
        <v>ImagingStudy.series.instance.number</v>
      </c>
      <c r="F44" s="11" t="s">
        <v>992</v>
      </c>
      <c r="G44" s="15" t="str">
        <f>_xlfn.XLOOKUP(A44,KOS!Z:Z,KOS!N:N,"")</f>
        <v/>
      </c>
      <c r="H44" s="11" t="s">
        <v>992</v>
      </c>
      <c r="I44" s="15" t="str">
        <f>_xlfn.XLOOKUP(A44,'KOS SR'!V:V,'KOS SR'!N:N,"")</f>
        <v>SR-TID1601:EV (ddd008, DCM, “Instance Number”)</v>
      </c>
      <c r="J44" s="11" t="s">
        <v>992</v>
      </c>
      <c r="K44" s="28" t="str">
        <f>_xlfn.IFNA(VLOOKUP($M44, XtEHR!A:F,2,FALSE)&amp;"."&amp;TRIM(VLOOKUP($M44, XtEHR!A:F,3,FALSE)),"-")</f>
        <v>EHDSImagingStudy.series.instancesInTheSeries.instanceNumber</v>
      </c>
      <c r="L44" s="11" t="s">
        <v>992</v>
      </c>
      <c r="M44" s="1" t="s">
        <v>567</v>
      </c>
      <c r="N44" s="28" t="str">
        <f>_xlfn.IFNA(VLOOKUP($M44, XtEHR!A:F,2,FALSE)&amp;"."&amp;TRIM(VLOOKUP($M44, XtEHR!A:F,3,FALSE)),"-")</f>
        <v>EHDSImagingStudy.series.instancesInTheSeries.instanceNumber</v>
      </c>
    </row>
    <row r="45" spans="1:14" x14ac:dyDescent="0.25">
      <c r="A45" t="s">
        <v>827</v>
      </c>
      <c r="B45" t="s">
        <v>45</v>
      </c>
      <c r="C45" s="15" t="s">
        <v>588</v>
      </c>
      <c r="D45" s="11" t="s">
        <v>992</v>
      </c>
      <c r="E45" s="15" t="str">
        <f t="shared" si="0"/>
        <v>ImagingStudy.series.instance.title</v>
      </c>
      <c r="F45" s="11" t="s">
        <v>992</v>
      </c>
      <c r="G45" s="15" t="str">
        <f>_xlfn.XLOOKUP(A45,KOS!Z:Z,KOS!N:N,"")</f>
        <v/>
      </c>
      <c r="H45" s="11" t="s">
        <v>992</v>
      </c>
      <c r="I45" s="15" t="str">
        <f>_xlfn.XLOOKUP(A45,'KOS SR'!V:V,'KOS SR'!N:N,"")</f>
        <v/>
      </c>
      <c r="J45" s="11" t="s">
        <v>992</v>
      </c>
      <c r="K45" s="28" t="str">
        <f>_xlfn.IFNA(VLOOKUP($M45, XtEHR!A:F,2,FALSE)&amp;"."&amp;TRIM(VLOOKUP($M45, XtEHR!A:F,3,FALSE)),"-")</f>
        <v>EHDSImagingStudy.series.instancesInTheSeries.instanceTitle</v>
      </c>
      <c r="L45" s="11" t="s">
        <v>992</v>
      </c>
      <c r="M45" s="1" t="s">
        <v>564</v>
      </c>
      <c r="N45" s="28" t="str">
        <f>_xlfn.IFNA(VLOOKUP($M45, XtEHR!A:F,2,FALSE)&amp;"."&amp;TRIM(VLOOKUP($M45, XtEHR!A:F,3,FALSE)),"-")</f>
        <v>EHDSImagingStudy.series.instancesInTheSeries.instanceTitle</v>
      </c>
    </row>
    <row r="46" spans="1:14" ht="45" x14ac:dyDescent="0.25">
      <c r="A46" t="s">
        <v>828</v>
      </c>
      <c r="B46" t="s">
        <v>45</v>
      </c>
      <c r="C46" s="15" t="s">
        <v>592</v>
      </c>
      <c r="D46" s="11" t="s">
        <v>992</v>
      </c>
      <c r="E46" s="15" t="str">
        <f t="shared" si="0"/>
        <v>ImagingStudy.series.instance.extension[numberOfFrames]</v>
      </c>
      <c r="F46" s="11" t="s">
        <v>992</v>
      </c>
      <c r="G46" s="15" t="str">
        <f>_xlfn.XLOOKUP(A46,KOS!Z:Z,KOS!N:N,"")</f>
        <v/>
      </c>
      <c r="H46" s="11" t="s">
        <v>992</v>
      </c>
      <c r="I46" s="15" t="str">
        <f>_xlfn.XLOOKUP(A46,'KOS SR'!V:V,'KOS SR'!N:N,"")</f>
        <v>SR-TID1601:EV (121140, DCM, “Number of Frames”)</v>
      </c>
      <c r="J46" s="11" t="s">
        <v>992</v>
      </c>
      <c r="K46" s="28" t="str">
        <f>_xlfn.IFNA(VLOOKUP($M46, XtEHR!A:F,2,FALSE)&amp;"."&amp;TRIM(VLOOKUP($M46, XtEHR!A:F,3,FALSE)),"-")</f>
        <v>EHDSImagingStudy.series.instancesInTheSeries.numberOfFrames</v>
      </c>
      <c r="L46" s="11" t="s">
        <v>992</v>
      </c>
      <c r="M46" s="1" t="s">
        <v>568</v>
      </c>
      <c r="N46" s="28" t="str">
        <f>_xlfn.IFNA(VLOOKUP($M46, XtEHR!A:F,2,FALSE)&amp;"."&amp;TRIM(VLOOKUP($M46, XtEHR!A:F,3,FALSE)),"-")</f>
        <v>EHDSImagingStudy.series.instancesInTheSeries.numberOfFrames</v>
      </c>
    </row>
    <row r="47" spans="1:14" x14ac:dyDescent="0.25">
      <c r="A47" t="s">
        <v>917</v>
      </c>
      <c r="B47" t="s">
        <v>45</v>
      </c>
      <c r="C47" s="15" t="s">
        <v>918</v>
      </c>
      <c r="D47" s="11" t="s">
        <v>992</v>
      </c>
      <c r="E47" s="15" t="str">
        <f t="shared" si="0"/>
        <v>ImagingStudy.series.instance.extension[representative]</v>
      </c>
      <c r="F47" s="11" t="s">
        <v>992</v>
      </c>
      <c r="G47" s="15" t="str">
        <f>_xlfn.XLOOKUP(A47,KOS!Z:Z,KOS!N:N,"")</f>
        <v/>
      </c>
      <c r="H47" s="11" t="s">
        <v>992</v>
      </c>
      <c r="I47" s="15" t="str">
        <f>_xlfn.XLOOKUP(A47,'KOS SR'!V:V,'KOS SR'!N:N,"")</f>
        <v>SR-TID2010:8</v>
      </c>
      <c r="J47" s="11" t="s">
        <v>992</v>
      </c>
      <c r="K47" s="28" t="str">
        <f>_xlfn.IFNA(VLOOKUP($M47, XtEHR!A:F,2,FALSE)&amp;"."&amp;TRIM(VLOOKUP($M47, XtEHR!A:F,3,FALSE)),"-")</f>
        <v>-</v>
      </c>
      <c r="L47" s="11" t="s">
        <v>992</v>
      </c>
      <c r="N47" s="28" t="str">
        <f>_xlfn.IFNA(VLOOKUP($M47, XtEHR!A:F,2,FALSE)&amp;"."&amp;TRIM(VLOOKUP($M47, XtEHR!A:F,3,FALSE)),"-")</f>
        <v>-</v>
      </c>
    </row>
    <row r="48" spans="1:14" x14ac:dyDescent="0.25">
      <c r="D48" s="11"/>
      <c r="F48" s="11"/>
      <c r="H48" s="11"/>
      <c r="J48" s="11"/>
      <c r="K48" s="28"/>
      <c r="L48" s="11"/>
      <c r="N48" s="28"/>
    </row>
    <row r="49" spans="1:14" ht="18" thickBot="1" x14ac:dyDescent="0.35">
      <c r="D49" s="11" t="s">
        <v>992</v>
      </c>
      <c r="E49" s="29" t="s">
        <v>285</v>
      </c>
      <c r="F49" s="11" t="s">
        <v>992</v>
      </c>
      <c r="G49" s="29" t="s">
        <v>279</v>
      </c>
      <c r="H49" s="11" t="s">
        <v>992</v>
      </c>
      <c r="I49" s="29" t="s">
        <v>996</v>
      </c>
      <c r="J49" s="11" t="s">
        <v>992</v>
      </c>
      <c r="K49" s="29" t="s">
        <v>578</v>
      </c>
      <c r="L49" s="11" t="s">
        <v>992</v>
      </c>
      <c r="M49" s="27"/>
      <c r="N49" s="28"/>
    </row>
    <row r="50" spans="1:14" ht="18.75" thickTop="1" thickBot="1" x14ac:dyDescent="0.35">
      <c r="D50" s="11" t="s">
        <v>992</v>
      </c>
      <c r="E50" s="36" t="s">
        <v>994</v>
      </c>
      <c r="F50" s="11" t="s">
        <v>992</v>
      </c>
      <c r="G50" s="36" t="s">
        <v>994</v>
      </c>
      <c r="H50" s="11" t="s">
        <v>992</v>
      </c>
      <c r="I50" s="36" t="s">
        <v>994</v>
      </c>
      <c r="J50" s="11" t="s">
        <v>992</v>
      </c>
      <c r="K50" s="36" t="s">
        <v>994</v>
      </c>
      <c r="L50" s="11" t="s">
        <v>992</v>
      </c>
      <c r="M50" s="36"/>
      <c r="N50" s="28"/>
    </row>
    <row r="51" spans="1:14" ht="15.75" thickTop="1" x14ac:dyDescent="0.25">
      <c r="A51" t="s">
        <v>699</v>
      </c>
      <c r="B51" t="s">
        <v>593</v>
      </c>
      <c r="C51" s="15" t="s">
        <v>47</v>
      </c>
      <c r="D51" s="11" t="s">
        <v>992</v>
      </c>
      <c r="E51" s="15" t="str">
        <f t="shared" si="0"/>
        <v>MhDDocumentReference.identifier</v>
      </c>
      <c r="F51" s="11" t="s">
        <v>992</v>
      </c>
      <c r="G51" s="15" t="str">
        <f>_xlfn.XLOOKUP(A51,KOS!Z:Z,KOS!N:N,"")</f>
        <v/>
      </c>
      <c r="H51" s="11" t="s">
        <v>992</v>
      </c>
      <c r="I51" s="15" t="str">
        <f>_xlfn.XLOOKUP(A51,'KOS SR'!V:V,'KOS SR'!N:N,"")</f>
        <v/>
      </c>
      <c r="J51" s="11" t="s">
        <v>992</v>
      </c>
      <c r="K51" s="28" t="str">
        <f>_xlfn.IFNA(VLOOKUP($M51, XtEHR!A:F,2,FALSE)&amp;"."&amp;TRIM(VLOOKUP($M51, XtEHR!A:F,3,FALSE)),"-")</f>
        <v>EHDSImagingStudy.header.identifier</v>
      </c>
      <c r="L51" s="11" t="s">
        <v>992</v>
      </c>
      <c r="M51" s="1" t="s">
        <v>536</v>
      </c>
      <c r="N51" s="28" t="str">
        <f>_xlfn.IFNA(VLOOKUP($M51, XtEHR!A:F,2,FALSE)&amp;"."&amp;TRIM(VLOOKUP($M51, XtEHR!A:F,3,FALSE)),"-")</f>
        <v>EHDSImagingStudy.header.identifier</v>
      </c>
    </row>
    <row r="52" spans="1:14" x14ac:dyDescent="0.25">
      <c r="A52" t="s">
        <v>700</v>
      </c>
      <c r="B52" t="s">
        <v>593</v>
      </c>
      <c r="C52" s="15" t="s">
        <v>65</v>
      </c>
      <c r="D52" s="11" t="s">
        <v>992</v>
      </c>
      <c r="E52" s="15" t="str">
        <f t="shared" si="0"/>
        <v>MhDDocumentReference.status</v>
      </c>
      <c r="F52" s="11" t="s">
        <v>992</v>
      </c>
      <c r="G52" s="15" t="str">
        <f>_xlfn.XLOOKUP(A52,KOS!Z:Z,KOS!N:N,"")</f>
        <v/>
      </c>
      <c r="H52" s="11" t="s">
        <v>992</v>
      </c>
      <c r="I52" s="15" t="str">
        <f>_xlfn.XLOOKUP(A52,'KOS SR'!V:V,'KOS SR'!N:N,"")</f>
        <v/>
      </c>
      <c r="J52" s="11" t="s">
        <v>992</v>
      </c>
      <c r="K52" s="28" t="str">
        <f>_xlfn.IFNA(VLOOKUP($M52, XtEHR!A:F,2,FALSE)&amp;"."&amp;TRIM(VLOOKUP($M52, XtEHR!A:F,3,FALSE)),"-")</f>
        <v>-</v>
      </c>
      <c r="L52" s="11" t="s">
        <v>992</v>
      </c>
      <c r="N52" s="28" t="str">
        <f>_xlfn.IFNA(VLOOKUP($M52, XtEHR!A:F,2,FALSE)&amp;"."&amp;TRIM(VLOOKUP($M52, XtEHR!A:F,3,FALSE)),"-")</f>
        <v>-</v>
      </c>
    </row>
    <row r="53" spans="1:14" x14ac:dyDescent="0.25">
      <c r="A53" t="s">
        <v>701</v>
      </c>
      <c r="B53" t="s">
        <v>593</v>
      </c>
      <c r="C53" s="15" t="s">
        <v>594</v>
      </c>
      <c r="D53" s="11" t="s">
        <v>992</v>
      </c>
      <c r="E53" s="15" t="str">
        <f t="shared" si="0"/>
        <v>MhDDocumentReference.docStatus</v>
      </c>
      <c r="F53" s="11" t="s">
        <v>992</v>
      </c>
      <c r="G53" s="15" t="str">
        <f>_xlfn.XLOOKUP(A53,KOS!Z:Z,KOS!N:N,"")</f>
        <v/>
      </c>
      <c r="H53" s="11" t="s">
        <v>992</v>
      </c>
      <c r="I53" s="15" t="str">
        <f>_xlfn.XLOOKUP(A53,'KOS SR'!V:V,'KOS SR'!N:N,"")</f>
        <v/>
      </c>
      <c r="J53" s="11" t="s">
        <v>992</v>
      </c>
      <c r="K53" s="28" t="str">
        <f>_xlfn.IFNA(VLOOKUP($M53, XtEHR!A:F,2,FALSE)&amp;"."&amp;TRIM(VLOOKUP($M53, XtEHR!A:F,3,FALSE)),"-")</f>
        <v>-</v>
      </c>
      <c r="L53" s="11" t="s">
        <v>992</v>
      </c>
      <c r="N53" s="28" t="str">
        <f>_xlfn.IFNA(VLOOKUP($M53, XtEHR!A:F,2,FALSE)&amp;"."&amp;TRIM(VLOOKUP($M53, XtEHR!A:F,3,FALSE)),"-")</f>
        <v>-</v>
      </c>
    </row>
    <row r="54" spans="1:14" x14ac:dyDescent="0.25">
      <c r="A54" t="s">
        <v>702</v>
      </c>
      <c r="B54" t="s">
        <v>593</v>
      </c>
      <c r="C54" s="15" t="s">
        <v>252</v>
      </c>
      <c r="D54" s="11" t="s">
        <v>992</v>
      </c>
      <c r="E54" s="15" t="str">
        <f t="shared" si="0"/>
        <v>MhDDocumentReference.type</v>
      </c>
      <c r="F54" s="11" t="s">
        <v>992</v>
      </c>
      <c r="G54" s="15" t="str">
        <f>_xlfn.XLOOKUP(A54,KOS!Z:Z,KOS!N:N,"")</f>
        <v/>
      </c>
      <c r="H54" s="11" t="s">
        <v>992</v>
      </c>
      <c r="I54" s="15" t="str">
        <f>_xlfn.XLOOKUP(A54,'KOS SR'!V:V,'KOS SR'!N:N,"")</f>
        <v/>
      </c>
      <c r="J54" s="11" t="s">
        <v>992</v>
      </c>
      <c r="K54" s="28" t="str">
        <f>_xlfn.IFNA(VLOOKUP($M54, XtEHR!A:F,2,FALSE)&amp;"."&amp;TRIM(VLOOKUP($M54, XtEHR!A:F,3,FALSE)),"-")</f>
        <v>-</v>
      </c>
      <c r="L54" s="11" t="s">
        <v>992</v>
      </c>
      <c r="N54" s="28" t="str">
        <f>_xlfn.IFNA(VLOOKUP($M54, XtEHR!A:F,2,FALSE)&amp;"."&amp;TRIM(VLOOKUP($M54, XtEHR!A:F,3,FALSE)),"-")</f>
        <v>-</v>
      </c>
    </row>
    <row r="55" spans="1:14" x14ac:dyDescent="0.25">
      <c r="A55" t="s">
        <v>703</v>
      </c>
      <c r="B55" t="s">
        <v>593</v>
      </c>
      <c r="C55" s="15" t="s">
        <v>595</v>
      </c>
      <c r="D55" s="11" t="s">
        <v>992</v>
      </c>
      <c r="E55" s="15" t="str">
        <f t="shared" si="0"/>
        <v>MhDDocumentReference.category</v>
      </c>
      <c r="F55" s="11" t="s">
        <v>992</v>
      </c>
      <c r="G55" s="15" t="str">
        <f>_xlfn.XLOOKUP(A55,KOS!Z:Z,KOS!N:N,"")</f>
        <v/>
      </c>
      <c r="H55" s="11" t="s">
        <v>992</v>
      </c>
      <c r="I55" s="15" t="str">
        <f>_xlfn.XLOOKUP(A55,'KOS SR'!V:V,'KOS SR'!N:N,"")</f>
        <v/>
      </c>
      <c r="J55" s="11" t="s">
        <v>992</v>
      </c>
      <c r="K55" s="28" t="str">
        <f>_xlfn.IFNA(VLOOKUP($M55, XtEHR!A:F,2,FALSE)&amp;"."&amp;TRIM(VLOOKUP($M55, XtEHR!A:F,3,FALSE)),"-")</f>
        <v>-</v>
      </c>
      <c r="L55" s="11" t="s">
        <v>992</v>
      </c>
      <c r="N55" s="28" t="str">
        <f>_xlfn.IFNA(VLOOKUP($M55, XtEHR!A:F,2,FALSE)&amp;"."&amp;TRIM(VLOOKUP($M55, XtEHR!A:F,3,FALSE)),"-")</f>
        <v>-</v>
      </c>
    </row>
    <row r="56" spans="1:14" x14ac:dyDescent="0.25">
      <c r="A56" t="s">
        <v>704</v>
      </c>
      <c r="B56" t="s">
        <v>593</v>
      </c>
      <c r="C56" s="15" t="s">
        <v>46</v>
      </c>
      <c r="D56" s="11" t="s">
        <v>992</v>
      </c>
      <c r="E56" s="15" t="str">
        <f t="shared" si="0"/>
        <v>MhDDocumentReference.subject</v>
      </c>
      <c r="F56" s="11" t="s">
        <v>992</v>
      </c>
      <c r="G56" s="15" t="str">
        <f>_xlfn.XLOOKUP(A56,KOS!Z:Z,KOS!N:N,"")</f>
        <v/>
      </c>
      <c r="H56" s="11" t="s">
        <v>992</v>
      </c>
      <c r="I56" s="15" t="str">
        <f>_xlfn.XLOOKUP(A56,'KOS SR'!V:V,'KOS SR'!N:N,"")</f>
        <v/>
      </c>
      <c r="J56" s="11" t="s">
        <v>992</v>
      </c>
      <c r="K56" s="28" t="str">
        <f>_xlfn.IFNA(VLOOKUP($M56, XtEHR!A:F,2,FALSE)&amp;"."&amp;TRIM(VLOOKUP($M56, XtEHR!A:F,3,FALSE)),"-")</f>
        <v>-</v>
      </c>
      <c r="L56" s="11" t="s">
        <v>992</v>
      </c>
      <c r="N56" s="28" t="str">
        <f>_xlfn.IFNA(VLOOKUP($M56, XtEHR!A:F,2,FALSE)&amp;"."&amp;TRIM(VLOOKUP($M56, XtEHR!A:F,3,FALSE)),"-")</f>
        <v>-</v>
      </c>
    </row>
    <row r="57" spans="1:14" ht="30" x14ac:dyDescent="0.25">
      <c r="A57" t="s">
        <v>705</v>
      </c>
      <c r="B57" t="s">
        <v>593</v>
      </c>
      <c r="C57" s="15" t="s">
        <v>64</v>
      </c>
      <c r="D57" s="11" t="s">
        <v>992</v>
      </c>
      <c r="E57" s="15" t="str">
        <f t="shared" si="0"/>
        <v>MhDDocumentReference.date</v>
      </c>
      <c r="F57" s="11" t="s">
        <v>992</v>
      </c>
      <c r="G57" s="15" t="str">
        <f>_xlfn.XLOOKUP(A57,KOS!Z:Z,KOS!N:N,"")</f>
        <v>Key Object Document-Content Date</v>
      </c>
      <c r="H57" s="11" t="s">
        <v>992</v>
      </c>
      <c r="I57" s="15" t="str">
        <f>_xlfn.XLOOKUP(A57,'KOS SR'!V:V,'KOS SR'!N:N,"")</f>
        <v/>
      </c>
      <c r="J57" s="11" t="s">
        <v>992</v>
      </c>
      <c r="K57" s="28" t="str">
        <f>_xlfn.IFNA(VLOOKUP($M57, XtEHR!A:F,2,FALSE)&amp;"."&amp;TRIM(VLOOKUP($M57, XtEHR!A:F,3,FALSE)),"-")</f>
        <v>-</v>
      </c>
      <c r="L57" s="11" t="s">
        <v>992</v>
      </c>
      <c r="N57" s="28" t="str">
        <f>_xlfn.IFNA(VLOOKUP($M57, XtEHR!A:F,2,FALSE)&amp;"."&amp;TRIM(VLOOKUP($M57, XtEHR!A:F,3,FALSE)),"-")</f>
        <v>-</v>
      </c>
    </row>
    <row r="58" spans="1:14" ht="30" x14ac:dyDescent="0.25">
      <c r="A58" t="s">
        <v>706</v>
      </c>
      <c r="B58" t="s">
        <v>593</v>
      </c>
      <c r="C58" s="15" t="s">
        <v>603</v>
      </c>
      <c r="D58" s="11" t="s">
        <v>992</v>
      </c>
      <c r="E58" s="15" t="str">
        <f t="shared" si="0"/>
        <v>MhDDocumentReference.author[madoDevice]</v>
      </c>
      <c r="F58" s="11" t="s">
        <v>992</v>
      </c>
      <c r="G58" s="15" t="str">
        <f>_xlfn.XLOOKUP(A58,KOS!Z:Z,KOS!N:N,"")</f>
        <v>General Equipment-Manufacturer</v>
      </c>
      <c r="H58" s="11" t="s">
        <v>992</v>
      </c>
      <c r="I58" s="15" t="str">
        <f>_xlfn.XLOOKUP(A58,'KOS SR'!V:V,'KOS SR'!N:N,"")</f>
        <v/>
      </c>
      <c r="J58" s="11" t="s">
        <v>992</v>
      </c>
      <c r="K58" s="28" t="str">
        <f>_xlfn.IFNA(VLOOKUP($M58, XtEHR!A:F,2,FALSE)&amp;"."&amp;TRIM(VLOOKUP($M58, XtEHR!A:F,3,FALSE)),"-")</f>
        <v>EHDSImagingStudy.header.author[EHDSDevice]</v>
      </c>
      <c r="L58" s="11" t="s">
        <v>992</v>
      </c>
      <c r="M58" s="1" t="s">
        <v>539</v>
      </c>
      <c r="N58" s="28" t="str">
        <f>_xlfn.IFNA(VLOOKUP($M58, XtEHR!A:F,2,FALSE)&amp;"."&amp;TRIM(VLOOKUP($M58, XtEHR!A:F,3,FALSE)),"-")</f>
        <v>EHDSImagingStudy.header.author[EHDSDevice]</v>
      </c>
    </row>
    <row r="59" spans="1:14" ht="30" x14ac:dyDescent="0.25">
      <c r="A59" t="s">
        <v>707</v>
      </c>
      <c r="B59" t="s">
        <v>593</v>
      </c>
      <c r="C59" s="15" t="s">
        <v>604</v>
      </c>
      <c r="D59" s="11" t="s">
        <v>992</v>
      </c>
      <c r="E59" s="15" t="str">
        <f t="shared" si="0"/>
        <v>MhDDocumentReference.author[organization]</v>
      </c>
      <c r="F59" s="11" t="s">
        <v>992</v>
      </c>
      <c r="G59" s="15" t="str">
        <f>_xlfn.XLOOKUP(A59,KOS!Z:Z,KOS!N:N,"")</f>
        <v>General Equipment-Institution Name</v>
      </c>
      <c r="H59" s="11" t="s">
        <v>992</v>
      </c>
      <c r="I59" s="15" t="str">
        <f>_xlfn.XLOOKUP(A59,'KOS SR'!V:V,'KOS SR'!N:N,"")</f>
        <v/>
      </c>
      <c r="J59" s="11" t="s">
        <v>992</v>
      </c>
      <c r="K59" s="28" t="str">
        <f>_xlfn.IFNA(VLOOKUP($M59, XtEHR!A:F,2,FALSE)&amp;"."&amp;TRIM(VLOOKUP($M59, XtEHR!A:F,3,FALSE)),"-")</f>
        <v>EHDSImagingStudy.header.author[EHDSOrganization]</v>
      </c>
      <c r="L59" s="11" t="s">
        <v>992</v>
      </c>
      <c r="M59" s="1" t="s">
        <v>538</v>
      </c>
      <c r="N59" s="28" t="str">
        <f>_xlfn.IFNA(VLOOKUP($M59, XtEHR!A:F,2,FALSE)&amp;"."&amp;TRIM(VLOOKUP($M59, XtEHR!A:F,3,FALSE)),"-")</f>
        <v>EHDSImagingStudy.header.author[EHDSOrganization]</v>
      </c>
    </row>
    <row r="60" spans="1:14" x14ac:dyDescent="0.25">
      <c r="A60" t="s">
        <v>708</v>
      </c>
      <c r="B60" t="s">
        <v>593</v>
      </c>
      <c r="D60" s="11" t="s">
        <v>992</v>
      </c>
      <c r="E60" s="15" t="str">
        <f t="shared" si="0"/>
        <v/>
      </c>
      <c r="F60" s="11" t="s">
        <v>992</v>
      </c>
      <c r="G60" s="15" t="str">
        <f>_xlfn.XLOOKUP(A60,KOS!Z:Z,KOS!N:N,"")</f>
        <v/>
      </c>
      <c r="H60" s="11" t="s">
        <v>992</v>
      </c>
      <c r="I60" s="15" t="str">
        <f>_xlfn.XLOOKUP(A60,'KOS SR'!V:V,'KOS SR'!N:N,"")</f>
        <v/>
      </c>
      <c r="J60" s="11" t="s">
        <v>992</v>
      </c>
      <c r="K60" s="28" t="str">
        <f>_xlfn.IFNA(VLOOKUP($M60, XtEHR!A:F,2,FALSE)&amp;"."&amp;TRIM(VLOOKUP($M60, XtEHR!A:F,3,FALSE)),"-")</f>
        <v>-</v>
      </c>
      <c r="L60" s="11" t="s">
        <v>992</v>
      </c>
      <c r="M60" s="3"/>
      <c r="N60" s="28" t="str">
        <f>_xlfn.IFNA(VLOOKUP($M60, XtEHR!A:F,2,FALSE)&amp;"."&amp;TRIM(VLOOKUP($M60, XtEHR!A:F,3,FALSE)),"-")</f>
        <v>-</v>
      </c>
    </row>
    <row r="61" spans="1:14" x14ac:dyDescent="0.25">
      <c r="A61" t="s">
        <v>709</v>
      </c>
      <c r="B61" t="s">
        <v>593</v>
      </c>
      <c r="C61" s="15" t="s">
        <v>596</v>
      </c>
      <c r="D61" s="11" t="s">
        <v>992</v>
      </c>
      <c r="E61" s="15" t="str">
        <f t="shared" si="0"/>
        <v>MhDDocumentReference.authenticator</v>
      </c>
      <c r="F61" s="11" t="s">
        <v>992</v>
      </c>
      <c r="G61" s="15" t="str">
        <f>_xlfn.XLOOKUP(A61,KOS!Z:Z,KOS!N:N,"")</f>
        <v/>
      </c>
      <c r="H61" s="11" t="s">
        <v>992</v>
      </c>
      <c r="I61" s="15" t="str">
        <f>_xlfn.XLOOKUP(A61,'KOS SR'!V:V,'KOS SR'!N:N,"")</f>
        <v/>
      </c>
      <c r="J61" s="11" t="s">
        <v>992</v>
      </c>
      <c r="K61" s="28" t="str">
        <f>_xlfn.IFNA(VLOOKUP($M61, XtEHR!A:F,2,FALSE)&amp;"."&amp;TRIM(VLOOKUP($M61, XtEHR!A:F,3,FALSE)),"-")</f>
        <v>-</v>
      </c>
      <c r="L61" s="11" t="s">
        <v>992</v>
      </c>
      <c r="N61" s="28" t="str">
        <f>_xlfn.IFNA(VLOOKUP($M61, XtEHR!A:F,2,FALSE)&amp;"."&amp;TRIM(VLOOKUP($M61, XtEHR!A:F,3,FALSE)),"-")</f>
        <v>-</v>
      </c>
    </row>
    <row r="62" spans="1:14" x14ac:dyDescent="0.25">
      <c r="A62" t="s">
        <v>710</v>
      </c>
      <c r="B62" t="s">
        <v>593</v>
      </c>
      <c r="C62" s="15" t="s">
        <v>597</v>
      </c>
      <c r="D62" s="11" t="s">
        <v>992</v>
      </c>
      <c r="E62" s="15" t="str">
        <f t="shared" si="0"/>
        <v>MhDDocumentReference.custodian</v>
      </c>
      <c r="F62" s="11" t="s">
        <v>992</v>
      </c>
      <c r="G62" s="15" t="str">
        <f>_xlfn.XLOOKUP(A62,KOS!Z:Z,KOS!N:N,"")</f>
        <v/>
      </c>
      <c r="H62" s="11" t="s">
        <v>992</v>
      </c>
      <c r="I62" s="15" t="str">
        <f>_xlfn.XLOOKUP(A62,'KOS SR'!V:V,'KOS SR'!N:N,"")</f>
        <v/>
      </c>
      <c r="J62" s="11" t="s">
        <v>992</v>
      </c>
      <c r="K62" s="28" t="str">
        <f>_xlfn.IFNA(VLOOKUP($M62, XtEHR!A:F,2,FALSE)&amp;"."&amp;TRIM(VLOOKUP($M62, XtEHR!A:F,3,FALSE)),"-")</f>
        <v>EHDSImagingStudy.studyCustodian</v>
      </c>
      <c r="L62" s="11" t="s">
        <v>992</v>
      </c>
      <c r="M62" s="1" t="s">
        <v>551</v>
      </c>
      <c r="N62" s="28" t="str">
        <f>_xlfn.IFNA(VLOOKUP($M62, XtEHR!A:F,2,FALSE)&amp;"."&amp;TRIM(VLOOKUP($M62, XtEHR!A:F,3,FALSE)),"-")</f>
        <v>EHDSImagingStudy.studyCustodian</v>
      </c>
    </row>
    <row r="63" spans="1:14" x14ac:dyDescent="0.25">
      <c r="A63" t="s">
        <v>711</v>
      </c>
      <c r="B63" t="s">
        <v>593</v>
      </c>
      <c r="C63" s="15" t="s">
        <v>598</v>
      </c>
      <c r="D63" s="11" t="s">
        <v>992</v>
      </c>
      <c r="E63" s="15" t="str">
        <f t="shared" si="0"/>
        <v>MhDDocumentReference.relatesTo</v>
      </c>
      <c r="F63" s="11" t="s">
        <v>992</v>
      </c>
      <c r="G63" s="15" t="str">
        <f>_xlfn.XLOOKUP(A63,KOS!Z:Z,KOS!N:N,"")</f>
        <v/>
      </c>
      <c r="H63" s="11" t="s">
        <v>992</v>
      </c>
      <c r="I63" s="15" t="str">
        <f>_xlfn.XLOOKUP(A63,'KOS SR'!V:V,'KOS SR'!N:N,"")</f>
        <v/>
      </c>
      <c r="J63" s="11" t="s">
        <v>992</v>
      </c>
      <c r="K63" s="28" t="str">
        <f>_xlfn.IFNA(VLOOKUP($M63, XtEHR!A:F,2,FALSE)&amp;"."&amp;TRIM(VLOOKUP($M63, XtEHR!A:F,3,FALSE)),"-")</f>
        <v>-</v>
      </c>
      <c r="L63" s="11" t="s">
        <v>992</v>
      </c>
      <c r="N63" s="28" t="str">
        <f>_xlfn.IFNA(VLOOKUP($M63, XtEHR!A:F,2,FALSE)&amp;"."&amp;TRIM(VLOOKUP($M63, XtEHR!A:F,3,FALSE)),"-")</f>
        <v>-</v>
      </c>
    </row>
    <row r="64" spans="1:14" x14ac:dyDescent="0.25">
      <c r="A64" t="s">
        <v>712</v>
      </c>
      <c r="B64" t="s">
        <v>593</v>
      </c>
      <c r="C64" s="15" t="s">
        <v>74</v>
      </c>
      <c r="D64" s="11" t="s">
        <v>992</v>
      </c>
      <c r="E64" s="15" t="str">
        <f t="shared" si="0"/>
        <v>MhDDocumentReference.description</v>
      </c>
      <c r="F64" s="11" t="s">
        <v>992</v>
      </c>
      <c r="G64" s="15" t="str">
        <f>_xlfn.XLOOKUP(A64,KOS!Z:Z,KOS!N:N,"")</f>
        <v/>
      </c>
      <c r="H64" s="11" t="s">
        <v>992</v>
      </c>
      <c r="I64" s="15" t="str">
        <f>_xlfn.XLOOKUP(A64,'KOS SR'!V:V,'KOS SR'!N:N,"")</f>
        <v/>
      </c>
      <c r="J64" s="11" t="s">
        <v>992</v>
      </c>
      <c r="K64" s="28" t="str">
        <f>_xlfn.IFNA(VLOOKUP($M64, XtEHR!A:F,2,FALSE)&amp;"."&amp;TRIM(VLOOKUP($M64, XtEHR!A:F,3,FALSE)),"-")</f>
        <v>-</v>
      </c>
      <c r="L64" s="11" t="s">
        <v>992</v>
      </c>
      <c r="N64" s="28" t="str">
        <f>_xlfn.IFNA(VLOOKUP($M64, XtEHR!A:F,2,FALSE)&amp;"."&amp;TRIM(VLOOKUP($M64, XtEHR!A:F,3,FALSE)),"-")</f>
        <v>-</v>
      </c>
    </row>
    <row r="65" spans="1:14" x14ac:dyDescent="0.25">
      <c r="A65" t="s">
        <v>713</v>
      </c>
      <c r="B65" t="s">
        <v>593</v>
      </c>
      <c r="C65" s="15" t="s">
        <v>599</v>
      </c>
      <c r="D65" s="11" t="s">
        <v>992</v>
      </c>
      <c r="E65" s="15" t="str">
        <f t="shared" si="0"/>
        <v>MhDDocumentReference.secutityLabel</v>
      </c>
      <c r="F65" s="11" t="s">
        <v>992</v>
      </c>
      <c r="G65" s="15" t="str">
        <f>_xlfn.XLOOKUP(A65,KOS!Z:Z,KOS!N:N,"")</f>
        <v/>
      </c>
      <c r="H65" s="11" t="s">
        <v>992</v>
      </c>
      <c r="I65" s="15" t="str">
        <f>_xlfn.XLOOKUP(A65,'KOS SR'!V:V,'KOS SR'!N:N,"")</f>
        <v/>
      </c>
      <c r="J65" s="11" t="s">
        <v>992</v>
      </c>
      <c r="K65" s="28" t="str">
        <f>_xlfn.IFNA(VLOOKUP($M65, XtEHR!A:F,2,FALSE)&amp;"."&amp;TRIM(VLOOKUP($M65, XtEHR!A:F,3,FALSE)),"-")</f>
        <v>-</v>
      </c>
      <c r="L65" s="11" t="s">
        <v>992</v>
      </c>
      <c r="N65" s="28" t="str">
        <f>_xlfn.IFNA(VLOOKUP($M65, XtEHR!A:F,2,FALSE)&amp;"."&amp;TRIM(VLOOKUP($M65, XtEHR!A:F,3,FALSE)),"-")</f>
        <v>-</v>
      </c>
    </row>
    <row r="66" spans="1:14" x14ac:dyDescent="0.25">
      <c r="A66" t="s">
        <v>714</v>
      </c>
      <c r="B66" t="s">
        <v>593</v>
      </c>
      <c r="C66" s="15" t="s">
        <v>579</v>
      </c>
      <c r="D66" s="11" t="s">
        <v>992</v>
      </c>
      <c r="E66" s="15" t="str">
        <f t="shared" si="0"/>
        <v>MhDDocumentReference.extension[anatomical]</v>
      </c>
      <c r="F66" s="11" t="s">
        <v>992</v>
      </c>
      <c r="G66" s="15" t="str">
        <f>_xlfn.XLOOKUP(A66,KOS!Z:Z,KOS!N:N,"")</f>
        <v/>
      </c>
      <c r="H66" s="11" t="s">
        <v>992</v>
      </c>
      <c r="I66" s="15" t="str">
        <f>_xlfn.XLOOKUP(A66,'KOS SR'!V:V,'KOS SR'!N:N,"")</f>
        <v/>
      </c>
      <c r="J66" s="11" t="s">
        <v>992</v>
      </c>
      <c r="K66" s="28" t="str">
        <f>_xlfn.IFNA(VLOOKUP($M66, XtEHR!A:F,2,FALSE)&amp;"."&amp;TRIM(VLOOKUP($M66, XtEHR!A:F,3,FALSE)),"-")</f>
        <v>-</v>
      </c>
      <c r="L66" s="11" t="s">
        <v>992</v>
      </c>
      <c r="N66" s="28" t="str">
        <f>_xlfn.IFNA(VLOOKUP($M66, XtEHR!A:F,2,FALSE)&amp;"."&amp;TRIM(VLOOKUP($M66, XtEHR!A:F,3,FALSE)),"-")</f>
        <v>-</v>
      </c>
    </row>
    <row r="67" spans="1:14" x14ac:dyDescent="0.25">
      <c r="A67" t="s">
        <v>715</v>
      </c>
      <c r="B67" t="s">
        <v>593</v>
      </c>
      <c r="C67" s="15" t="s">
        <v>602</v>
      </c>
      <c r="D67" s="11" t="s">
        <v>992</v>
      </c>
      <c r="E67" s="15" t="str">
        <f t="shared" si="0"/>
        <v>MhDDocumentReference.extension[modality]</v>
      </c>
      <c r="F67" s="11" t="s">
        <v>992</v>
      </c>
      <c r="G67" s="15" t="str">
        <f>_xlfn.XLOOKUP(A67,KOS!Z:Z,KOS!N:N,"")</f>
        <v/>
      </c>
      <c r="H67" s="11" t="s">
        <v>992</v>
      </c>
      <c r="I67" s="15" t="str">
        <f>_xlfn.XLOOKUP(A67,'KOS SR'!V:V,'KOS SR'!N:N,"")</f>
        <v/>
      </c>
      <c r="J67" s="11" t="s">
        <v>992</v>
      </c>
      <c r="K67" s="28" t="str">
        <f>_xlfn.IFNA(VLOOKUP($M67, XtEHR!A:F,2,FALSE)&amp;"."&amp;TRIM(VLOOKUP($M67, XtEHR!A:F,3,FALSE)),"-")</f>
        <v>EHDSImagingStudy.modality</v>
      </c>
      <c r="L67" s="11" t="s">
        <v>992</v>
      </c>
      <c r="M67" s="1" t="s">
        <v>543</v>
      </c>
      <c r="N67" s="28" t="str">
        <f>_xlfn.IFNA(VLOOKUP($M67, XtEHR!A:F,2,FALSE)&amp;"."&amp;TRIM(VLOOKUP($M67, XtEHR!A:F,3,FALSE)),"-")</f>
        <v>EHDSImagingStudy.modality</v>
      </c>
    </row>
    <row r="68" spans="1:14" x14ac:dyDescent="0.25">
      <c r="A68" t="s">
        <v>716</v>
      </c>
      <c r="B68" t="s">
        <v>593</v>
      </c>
      <c r="C68" s="15" t="s">
        <v>600</v>
      </c>
      <c r="D68" s="11" t="s">
        <v>992</v>
      </c>
      <c r="E68" s="15" t="str">
        <f t="shared" si="0"/>
        <v>MhDDocumentReference.content</v>
      </c>
      <c r="F68" s="11" t="s">
        <v>992</v>
      </c>
      <c r="G68" s="15" t="str">
        <f>_xlfn.XLOOKUP(A68,KOS!Z:Z,KOS!N:N,"")</f>
        <v/>
      </c>
      <c r="H68" s="11" t="s">
        <v>992</v>
      </c>
      <c r="I68" s="15" t="str">
        <f>_xlfn.XLOOKUP(A68,'KOS SR'!V:V,'KOS SR'!N:N,"")</f>
        <v/>
      </c>
      <c r="J68" s="11" t="s">
        <v>992</v>
      </c>
      <c r="K68" s="28" t="str">
        <f>_xlfn.IFNA(VLOOKUP($M68, XtEHR!A:F,2,FALSE)&amp;"."&amp;TRIM(VLOOKUP($M68, XtEHR!A:F,3,FALSE)),"-")</f>
        <v>-</v>
      </c>
      <c r="L68" s="11" t="s">
        <v>992</v>
      </c>
      <c r="N68" s="28" t="str">
        <f>_xlfn.IFNA(VLOOKUP($M68, XtEHR!A:F,2,FALSE)&amp;"."&amp;TRIM(VLOOKUP($M68, XtEHR!A:F,3,FALSE)),"-")</f>
        <v>-</v>
      </c>
    </row>
    <row r="69" spans="1:14" x14ac:dyDescent="0.25">
      <c r="A69" t="s">
        <v>999</v>
      </c>
      <c r="B69" t="s">
        <v>593</v>
      </c>
      <c r="C69" s="15" t="s">
        <v>1000</v>
      </c>
      <c r="D69" s="11" t="s">
        <v>992</v>
      </c>
      <c r="E69" s="15" t="str">
        <f t="shared" si="0"/>
        <v>MhDDocumentReference.content.period</v>
      </c>
      <c r="F69" s="11" t="s">
        <v>992</v>
      </c>
      <c r="G69" s="15" t="str">
        <f>_xlfn.XLOOKUP(A69,KOS!Z:Z,KOS!N:N,"")</f>
        <v/>
      </c>
      <c r="H69" s="11" t="s">
        <v>992</v>
      </c>
      <c r="I69" s="15" t="str">
        <f>_xlfn.XLOOKUP(A69,'KOS SR'!V:V,'KOS SR'!N:N,"")</f>
        <v/>
      </c>
      <c r="J69" s="11" t="s">
        <v>992</v>
      </c>
      <c r="K69" s="28" t="str">
        <f>_xlfn.IFNA(VLOOKUP($M69, XtEHR!A:F,2,FALSE)&amp;"."&amp;TRIM(VLOOKUP($M69, XtEHR!A:F,3,FALSE)),"-")</f>
        <v>EHDSImagingStudy.started</v>
      </c>
      <c r="L69" s="11" t="s">
        <v>992</v>
      </c>
      <c r="M69" t="s">
        <v>546</v>
      </c>
      <c r="N69" s="28" t="str">
        <f>_xlfn.IFNA(VLOOKUP($M69, XtEHR!A:F,2,FALSE)&amp;"."&amp;TRIM(VLOOKUP($M69, XtEHR!A:F,3,FALSE)),"-")</f>
        <v>EHDSImagingStudy.started</v>
      </c>
    </row>
    <row r="70" spans="1:14" x14ac:dyDescent="0.25">
      <c r="A70" t="s">
        <v>717</v>
      </c>
      <c r="B70" t="s">
        <v>593</v>
      </c>
      <c r="C70" s="15" t="s">
        <v>601</v>
      </c>
      <c r="D70" s="11" t="s">
        <v>992</v>
      </c>
      <c r="E70" s="15" t="str">
        <f t="shared" si="0"/>
        <v>MhDDocumentReference.context</v>
      </c>
      <c r="F70" s="11" t="s">
        <v>992</v>
      </c>
      <c r="G70" s="15" t="str">
        <f>_xlfn.XLOOKUP(A70,KOS!Z:Z,KOS!N:N,"")</f>
        <v/>
      </c>
      <c r="H70" s="11" t="s">
        <v>992</v>
      </c>
      <c r="I70" s="15" t="str">
        <f>_xlfn.XLOOKUP(A70,'KOS SR'!V:V,'KOS SR'!N:N,"")</f>
        <v/>
      </c>
      <c r="J70" s="11" t="s">
        <v>992</v>
      </c>
      <c r="K70" s="28" t="str">
        <f>_xlfn.IFNA(VLOOKUP($M70, XtEHR!A:F,2,FALSE)&amp;"."&amp;TRIM(VLOOKUP($M70, XtEHR!A:F,3,FALSE)),"-")</f>
        <v>-</v>
      </c>
      <c r="L70" s="11" t="s">
        <v>992</v>
      </c>
      <c r="N70" s="28" t="str">
        <f>_xlfn.IFNA(VLOOKUP($M70, XtEHR!A:F,2,FALSE)&amp;"."&amp;TRIM(VLOOKUP($M70, XtEHR!A:F,3,FALSE)),"-")</f>
        <v>-</v>
      </c>
    </row>
    <row r="71" spans="1:14" x14ac:dyDescent="0.25">
      <c r="D71" s="11"/>
      <c r="F71" s="11"/>
      <c r="H71" s="11"/>
      <c r="J71" s="11"/>
      <c r="K71" s="28"/>
      <c r="L71" s="11"/>
      <c r="N71" s="28" t="str">
        <f>_xlfn.IFNA(VLOOKUP($M71, XtEHR!A:F,2,FALSE)&amp;"."&amp;TRIM(VLOOKUP($M71, XtEHR!A:F,3,FALSE)),"-")</f>
        <v>-</v>
      </c>
    </row>
    <row r="72" spans="1:14" ht="18" thickBot="1" x14ac:dyDescent="0.35">
      <c r="D72" s="11" t="s">
        <v>992</v>
      </c>
      <c r="E72" s="29" t="s">
        <v>285</v>
      </c>
      <c r="F72" s="11" t="s">
        <v>992</v>
      </c>
      <c r="G72" s="29" t="s">
        <v>279</v>
      </c>
      <c r="H72" s="11" t="s">
        <v>992</v>
      </c>
      <c r="I72" s="29" t="s">
        <v>996</v>
      </c>
      <c r="J72" s="11" t="s">
        <v>992</v>
      </c>
      <c r="K72" s="29" t="s">
        <v>578</v>
      </c>
      <c r="L72" s="11" t="s">
        <v>992</v>
      </c>
      <c r="N72" s="28"/>
    </row>
    <row r="73" spans="1:14" ht="18.75" thickTop="1" thickBot="1" x14ac:dyDescent="0.35">
      <c r="D73" s="11" t="s">
        <v>992</v>
      </c>
      <c r="E73" s="36" t="s">
        <v>994</v>
      </c>
      <c r="F73" s="11" t="s">
        <v>992</v>
      </c>
      <c r="G73" s="36" t="s">
        <v>994</v>
      </c>
      <c r="H73" s="11" t="s">
        <v>992</v>
      </c>
      <c r="I73" s="36" t="s">
        <v>994</v>
      </c>
      <c r="J73" s="11" t="s">
        <v>992</v>
      </c>
      <c r="K73" s="36" t="s">
        <v>994</v>
      </c>
      <c r="L73" s="11" t="s">
        <v>992</v>
      </c>
      <c r="N73" s="28"/>
    </row>
    <row r="74" spans="1:14" ht="15.75" thickTop="1" x14ac:dyDescent="0.25">
      <c r="A74" t="s">
        <v>718</v>
      </c>
      <c r="B74" t="s">
        <v>77</v>
      </c>
      <c r="C74" s="15" t="s">
        <v>47</v>
      </c>
      <c r="D74" s="11" t="s">
        <v>992</v>
      </c>
      <c r="E74" s="15" t="str">
        <f t="shared" ref="E74:E142" si="1">IF(LEN(C74)&gt;0,B74&amp;"."&amp;C74,"")</f>
        <v>Patient.identifier</v>
      </c>
      <c r="F74" s="11" t="s">
        <v>992</v>
      </c>
      <c r="G74" s="15" t="str">
        <f>_xlfn.XLOOKUP(A74,KOS!Z:Z,KOS!N:N,"")</f>
        <v>PatientModule-Patient ID​</v>
      </c>
      <c r="H74" s="11" t="s">
        <v>992</v>
      </c>
      <c r="I74" s="15" t="str">
        <f>_xlfn.XLOOKUP(A74,'KOS SR'!V:V,'KOS SR'!N:N,"")</f>
        <v/>
      </c>
      <c r="J74" s="11" t="s">
        <v>992</v>
      </c>
      <c r="K74" s="28" t="str">
        <f>_xlfn.IFNA(VLOOKUP($M74, XtEHR!A:F,2,FALSE)&amp;"."&amp;TRIM(VLOOKUP($M74, XtEHR!A:F,3,FALSE)),"-")</f>
        <v>EHDSPatient.identifier</v>
      </c>
      <c r="L74" s="11" t="s">
        <v>992</v>
      </c>
      <c r="M74" s="3" t="s">
        <v>611</v>
      </c>
      <c r="N74" s="28" t="str">
        <f>_xlfn.IFNA(VLOOKUP($M74, XtEHR!A:F,2,FALSE)&amp;"."&amp;TRIM(VLOOKUP($M74, XtEHR!A:F,3,FALSE)),"-")</f>
        <v>EHDSPatient.identifier</v>
      </c>
    </row>
    <row r="75" spans="1:14" ht="30" x14ac:dyDescent="0.25">
      <c r="A75" t="s">
        <v>719</v>
      </c>
      <c r="B75" t="s">
        <v>77</v>
      </c>
      <c r="C75" s="15" t="s">
        <v>114</v>
      </c>
      <c r="D75" s="11" t="s">
        <v>992</v>
      </c>
      <c r="E75" s="15" t="str">
        <f t="shared" si="1"/>
        <v>Patient.name</v>
      </c>
      <c r="F75" s="11" t="s">
        <v>992</v>
      </c>
      <c r="G75" s="15" t="str">
        <f>_xlfn.XLOOKUP(A75,KOS!Z:Z,KOS!N:N,"")</f>
        <v>PatientModule-PatientName</v>
      </c>
      <c r="H75" s="11" t="s">
        <v>992</v>
      </c>
      <c r="I75" s="15" t="str">
        <f>_xlfn.XLOOKUP(A75,'KOS SR'!V:V,'KOS SR'!N:N,"")</f>
        <v/>
      </c>
      <c r="J75" s="11" t="s">
        <v>992</v>
      </c>
      <c r="K75" s="28" t="str">
        <f>_xlfn.IFNA(VLOOKUP($M75, XtEHR!A:F,2,FALSE)&amp;"."&amp;TRIM(VLOOKUP($M75, XtEHR!A:F,3,FALSE)),"-")</f>
        <v>EHDSPatient.name</v>
      </c>
      <c r="L75" s="11" t="s">
        <v>992</v>
      </c>
      <c r="M75" s="3" t="s">
        <v>612</v>
      </c>
      <c r="N75" s="28" t="str">
        <f>_xlfn.IFNA(VLOOKUP($M75, XtEHR!A:F,2,FALSE)&amp;"."&amp;TRIM(VLOOKUP($M75, XtEHR!A:F,3,FALSE)),"-")</f>
        <v>EHDSPatient.name</v>
      </c>
    </row>
    <row r="76" spans="1:14" ht="30" x14ac:dyDescent="0.25">
      <c r="A76" t="s">
        <v>720</v>
      </c>
      <c r="B76" t="s">
        <v>77</v>
      </c>
      <c r="C76" s="15" t="s">
        <v>607</v>
      </c>
      <c r="D76" s="11" t="s">
        <v>992</v>
      </c>
      <c r="E76" s="15" t="str">
        <f t="shared" si="1"/>
        <v>Patient.birthDate</v>
      </c>
      <c r="F76" s="11" t="s">
        <v>992</v>
      </c>
      <c r="G76" s="15" t="str">
        <f>_xlfn.XLOOKUP(A76,KOS!Z:Z,KOS!N:N,"")</f>
        <v>PatientModule-Patient's Birth Date​</v>
      </c>
      <c r="H76" s="11" t="s">
        <v>992</v>
      </c>
      <c r="I76" s="15" t="str">
        <f>_xlfn.XLOOKUP(A76,'KOS SR'!V:V,'KOS SR'!N:N,"")</f>
        <v/>
      </c>
      <c r="J76" s="11" t="s">
        <v>992</v>
      </c>
      <c r="K76" s="28" t="str">
        <f>_xlfn.IFNA(VLOOKUP($M76, XtEHR!A:F,2,FALSE)&amp;"."&amp;TRIM(VLOOKUP($M76, XtEHR!A:F,3,FALSE)),"-")</f>
        <v>EHDSPatient.dateOfBirth</v>
      </c>
      <c r="L76" s="11" t="s">
        <v>992</v>
      </c>
      <c r="M76" s="3" t="s">
        <v>613</v>
      </c>
      <c r="N76" s="28" t="str">
        <f>_xlfn.IFNA(VLOOKUP($M76, XtEHR!A:F,2,FALSE)&amp;"."&amp;TRIM(VLOOKUP($M76, XtEHR!A:F,3,FALSE)),"-")</f>
        <v>EHDSPatient.dateOfBirth</v>
      </c>
    </row>
    <row r="77" spans="1:14" x14ac:dyDescent="0.25">
      <c r="A77" t="s">
        <v>721</v>
      </c>
      <c r="B77" t="s">
        <v>77</v>
      </c>
      <c r="C77" s="15" t="s">
        <v>608</v>
      </c>
      <c r="D77" s="11" t="s">
        <v>992</v>
      </c>
      <c r="E77" s="15" t="str">
        <f t="shared" si="1"/>
        <v>Patient.deceased[boolean]</v>
      </c>
      <c r="F77" s="11" t="s">
        <v>992</v>
      </c>
      <c r="G77" s="15" t="str">
        <f>_xlfn.XLOOKUP(A77,KOS!Z:Z,KOS!N:N,"")</f>
        <v/>
      </c>
      <c r="H77" s="11" t="s">
        <v>992</v>
      </c>
      <c r="I77" s="15" t="str">
        <f>_xlfn.XLOOKUP(A77,'KOS SR'!V:V,'KOS SR'!N:N,"")</f>
        <v/>
      </c>
      <c r="J77" s="11" t="s">
        <v>992</v>
      </c>
      <c r="K77" s="28" t="str">
        <f>_xlfn.IFNA(VLOOKUP($M77, XtEHR!A:F,2,FALSE)&amp;"."&amp;TRIM(VLOOKUP($M77, XtEHR!A:F,3,FALSE)),"-")</f>
        <v>EHDSPatient.deceased[boolean]</v>
      </c>
      <c r="L77" s="11" t="s">
        <v>992</v>
      </c>
      <c r="M77" s="3" t="s">
        <v>614</v>
      </c>
      <c r="N77" s="28" t="str">
        <f>_xlfn.IFNA(VLOOKUP($M77, XtEHR!A:F,2,FALSE)&amp;"."&amp;TRIM(VLOOKUP($M77, XtEHR!A:F,3,FALSE)),"-")</f>
        <v>EHDSPatient.deceased[boolean]</v>
      </c>
    </row>
    <row r="78" spans="1:14" x14ac:dyDescent="0.25">
      <c r="A78" t="s">
        <v>722</v>
      </c>
      <c r="B78" t="s">
        <v>77</v>
      </c>
      <c r="C78" s="15" t="s">
        <v>609</v>
      </c>
      <c r="D78" s="11" t="s">
        <v>992</v>
      </c>
      <c r="E78" s="15" t="str">
        <f t="shared" si="1"/>
        <v>Patient.deceased[DateTime]</v>
      </c>
      <c r="F78" s="11" t="s">
        <v>992</v>
      </c>
      <c r="G78" s="15" t="str">
        <f>_xlfn.XLOOKUP(A78,KOS!Z:Z,KOS!N:N,"")</f>
        <v/>
      </c>
      <c r="H78" s="11" t="s">
        <v>992</v>
      </c>
      <c r="I78" s="15" t="str">
        <f>_xlfn.XLOOKUP(A78,'KOS SR'!V:V,'KOS SR'!N:N,"")</f>
        <v/>
      </c>
      <c r="J78" s="11" t="s">
        <v>992</v>
      </c>
      <c r="K78" s="28" t="str">
        <f>_xlfn.IFNA(VLOOKUP($M78, XtEHR!A:F,2,FALSE)&amp;"."&amp;TRIM(VLOOKUP($M78, XtEHR!A:F,3,FALSE)),"-")</f>
        <v>EHDSPatient.deceased[DateTime]</v>
      </c>
      <c r="L78" s="11" t="s">
        <v>992</v>
      </c>
      <c r="M78" s="3" t="s">
        <v>615</v>
      </c>
      <c r="N78" s="28" t="str">
        <f>_xlfn.IFNA(VLOOKUP($M78, XtEHR!A:F,2,FALSE)&amp;"."&amp;TRIM(VLOOKUP($M78, XtEHR!A:F,3,FALSE)),"-")</f>
        <v>EHDSPatient.deceased[DateTime]</v>
      </c>
    </row>
    <row r="79" spans="1:14" ht="30" x14ac:dyDescent="0.25">
      <c r="A79" t="s">
        <v>723</v>
      </c>
      <c r="B79" t="s">
        <v>77</v>
      </c>
      <c r="C79" s="15" t="s">
        <v>324</v>
      </c>
      <c r="D79" s="11" t="s">
        <v>992</v>
      </c>
      <c r="E79" s="15" t="str">
        <f t="shared" si="1"/>
        <v>Patient.gender</v>
      </c>
      <c r="F79" s="11" t="s">
        <v>992</v>
      </c>
      <c r="G79" s="15" t="str">
        <f>_xlfn.XLOOKUP(A79,KOS!Z:Z,KOS!N:N,"")</f>
        <v>PatientModule-Patient's Sex​</v>
      </c>
      <c r="H79" s="11" t="s">
        <v>992</v>
      </c>
      <c r="I79" s="15" t="str">
        <f>_xlfn.XLOOKUP(A79,'KOS SR'!V:V,'KOS SR'!N:N,"")</f>
        <v/>
      </c>
      <c r="J79" s="11" t="s">
        <v>992</v>
      </c>
      <c r="K79" s="28" t="str">
        <f>_xlfn.IFNA(VLOOKUP($M79, XtEHR!A:F,2,FALSE)&amp;"."&amp;TRIM(VLOOKUP($M79, XtEHR!A:F,3,FALSE)),"-")</f>
        <v>EHDSPatient.administrativeGender</v>
      </c>
      <c r="L79" s="11" t="s">
        <v>992</v>
      </c>
      <c r="M79" s="3" t="s">
        <v>616</v>
      </c>
      <c r="N79" s="28" t="str">
        <f>_xlfn.IFNA(VLOOKUP($M79, XtEHR!A:F,2,FALSE)&amp;"."&amp;TRIM(VLOOKUP($M79, XtEHR!A:F,3,FALSE)),"-")</f>
        <v>EHDSPatient.administrativeGender</v>
      </c>
    </row>
    <row r="80" spans="1:14" x14ac:dyDescent="0.25">
      <c r="A80" t="s">
        <v>724</v>
      </c>
      <c r="B80" t="s">
        <v>77</v>
      </c>
      <c r="C80" s="15" t="s">
        <v>115</v>
      </c>
      <c r="D80" s="11" t="s">
        <v>992</v>
      </c>
      <c r="E80" s="15" t="str">
        <f t="shared" si="1"/>
        <v>Patient.address</v>
      </c>
      <c r="F80" s="11" t="s">
        <v>992</v>
      </c>
      <c r="G80" s="15" t="str">
        <f>_xlfn.XLOOKUP(A80,KOS!Z:Z,KOS!N:N,"")</f>
        <v/>
      </c>
      <c r="H80" s="11" t="s">
        <v>992</v>
      </c>
      <c r="I80" s="15" t="str">
        <f>_xlfn.XLOOKUP(A80,'KOS SR'!V:V,'KOS SR'!N:N,"")</f>
        <v/>
      </c>
      <c r="J80" s="11" t="s">
        <v>992</v>
      </c>
      <c r="K80" s="28" t="str">
        <f>_xlfn.IFNA(VLOOKUP($M80, XtEHR!A:F,2,FALSE)&amp;"."&amp;TRIM(VLOOKUP($M80, XtEHR!A:F,3,FALSE)),"-")</f>
        <v>EHDSPatient.address</v>
      </c>
      <c r="L80" s="11" t="s">
        <v>992</v>
      </c>
      <c r="M80" s="3" t="s">
        <v>617</v>
      </c>
      <c r="N80" s="28" t="str">
        <f>_xlfn.IFNA(VLOOKUP($M80, XtEHR!A:F,2,FALSE)&amp;"."&amp;TRIM(VLOOKUP($M80, XtEHR!A:F,3,FALSE)),"-")</f>
        <v>EHDSPatient.address</v>
      </c>
    </row>
    <row r="81" spans="1:14" x14ac:dyDescent="0.25">
      <c r="A81" t="s">
        <v>725</v>
      </c>
      <c r="B81" t="s">
        <v>77</v>
      </c>
      <c r="C81" s="15" t="s">
        <v>116</v>
      </c>
      <c r="D81" s="11" t="s">
        <v>992</v>
      </c>
      <c r="E81" s="15" t="str">
        <f t="shared" si="1"/>
        <v>Patient.telecom</v>
      </c>
      <c r="F81" s="11" t="s">
        <v>992</v>
      </c>
      <c r="G81" s="15" t="str">
        <f>_xlfn.XLOOKUP(A81,KOS!Z:Z,KOS!N:N,"")</f>
        <v/>
      </c>
      <c r="H81" s="11" t="s">
        <v>992</v>
      </c>
      <c r="I81" s="15" t="str">
        <f>_xlfn.XLOOKUP(A81,'KOS SR'!V:V,'KOS SR'!N:N,"")</f>
        <v/>
      </c>
      <c r="J81" s="11" t="s">
        <v>992</v>
      </c>
      <c r="K81" s="28" t="str">
        <f>_xlfn.IFNA(VLOOKUP($M81, XtEHR!A:F,2,FALSE)&amp;"."&amp;TRIM(VLOOKUP($M81, XtEHR!A:F,3,FALSE)),"-")</f>
        <v>EHDSPatient.telecom</v>
      </c>
      <c r="L81" s="11" t="s">
        <v>992</v>
      </c>
      <c r="M81" s="3" t="s">
        <v>618</v>
      </c>
      <c r="N81" s="28" t="str">
        <f>_xlfn.IFNA(VLOOKUP($M81, XtEHR!A:F,2,FALSE)&amp;"."&amp;TRIM(VLOOKUP($M81, XtEHR!A:F,3,FALSE)),"-")</f>
        <v>EHDSPatient.telecom</v>
      </c>
    </row>
    <row r="82" spans="1:14" x14ac:dyDescent="0.25">
      <c r="A82" t="s">
        <v>922</v>
      </c>
      <c r="B82" t="s">
        <v>77</v>
      </c>
      <c r="C82" s="15" t="s">
        <v>919</v>
      </c>
      <c r="D82" s="11" t="s">
        <v>992</v>
      </c>
      <c r="E82" s="15" t="str">
        <f t="shared" si="1"/>
        <v>Patient.extension[patient-animal]</v>
      </c>
      <c r="F82" s="11" t="s">
        <v>992</v>
      </c>
      <c r="G82" s="15" t="str">
        <f>_xlfn.XLOOKUP(A82,KOS!Z:Z,KOS!N:N,"")</f>
        <v/>
      </c>
      <c r="H82" s="11" t="s">
        <v>992</v>
      </c>
      <c r="I82" s="15" t="str">
        <f>_xlfn.XLOOKUP(A82,'KOS SR'!V:V,'KOS SR'!N:N,"")</f>
        <v/>
      </c>
      <c r="J82" s="11" t="s">
        <v>992</v>
      </c>
      <c r="K82" s="28" t="str">
        <f>_xlfn.IFNA(VLOOKUP($M82, XtEHR!A:F,2,FALSE)&amp;"."&amp;TRIM(VLOOKUP($M82, XtEHR!A:F,3,FALSE)),"-")</f>
        <v>-</v>
      </c>
      <c r="L82" s="11" t="s">
        <v>992</v>
      </c>
      <c r="M82" s="3"/>
      <c r="N82" s="28"/>
    </row>
    <row r="83" spans="1:14" ht="45" x14ac:dyDescent="0.25">
      <c r="A83" t="s">
        <v>923</v>
      </c>
      <c r="B83" t="s">
        <v>77</v>
      </c>
      <c r="C83" s="15" t="s">
        <v>920</v>
      </c>
      <c r="D83" s="11" t="s">
        <v>992</v>
      </c>
      <c r="E83" s="15" t="str">
        <f t="shared" si="1"/>
        <v>Patient.extension[patient-animal]extension[species]</v>
      </c>
      <c r="F83" s="11" t="s">
        <v>992</v>
      </c>
      <c r="G83" s="15" t="str">
        <f>_xlfn.XLOOKUP(A83,KOS!Z:Z,KOS!N:N,"")</f>
        <v>PatientModule-PatientSpeciesDescription</v>
      </c>
      <c r="H83" s="11" t="s">
        <v>992</v>
      </c>
      <c r="I83" s="15" t="str">
        <f>_xlfn.XLOOKUP(A83,'KOS SR'!V:V,'KOS SR'!N:N,"")</f>
        <v/>
      </c>
      <c r="J83" s="11" t="s">
        <v>992</v>
      </c>
      <c r="K83" s="28" t="str">
        <f>_xlfn.IFNA(VLOOKUP($M83, XtEHR!A:F,2,FALSE)&amp;"."&amp;TRIM(VLOOKUP($M83, XtEHR!A:F,3,FALSE)),"-")</f>
        <v>-</v>
      </c>
      <c r="L83" s="11" t="s">
        <v>992</v>
      </c>
      <c r="M83" s="3"/>
      <c r="N83" s="28"/>
    </row>
    <row r="84" spans="1:14" ht="30" x14ac:dyDescent="0.25">
      <c r="A84" t="s">
        <v>924</v>
      </c>
      <c r="B84" t="s">
        <v>77</v>
      </c>
      <c r="C84" s="15" t="s">
        <v>921</v>
      </c>
      <c r="D84" s="11" t="s">
        <v>992</v>
      </c>
      <c r="E84" s="15" t="str">
        <f t="shared" si="1"/>
        <v>Patient.extension[patient-animal].extension[breed]</v>
      </c>
      <c r="F84" s="11" t="s">
        <v>992</v>
      </c>
      <c r="G84" s="15" t="str">
        <f>_xlfn.XLOOKUP(A84,KOS!Z:Z,KOS!N:N,"")</f>
        <v>PatientModule-Patient Breed description</v>
      </c>
      <c r="H84" s="11" t="s">
        <v>992</v>
      </c>
      <c r="I84" s="15" t="str">
        <f>_xlfn.XLOOKUP(A84,'KOS SR'!V:V,'KOS SR'!N:N,"")</f>
        <v/>
      </c>
      <c r="J84" s="11" t="s">
        <v>992</v>
      </c>
      <c r="K84" s="28" t="str">
        <f>_xlfn.IFNA(VLOOKUP($M84, XtEHR!A:F,2,FALSE)&amp;"."&amp;TRIM(VLOOKUP($M84, XtEHR!A:F,3,FALSE)),"-")</f>
        <v>-</v>
      </c>
      <c r="L84" s="11" t="s">
        <v>992</v>
      </c>
      <c r="M84" s="3"/>
      <c r="N84" s="28"/>
    </row>
    <row r="85" spans="1:14" x14ac:dyDescent="0.25">
      <c r="D85" s="11"/>
      <c r="F85" s="11"/>
      <c r="H85" s="11"/>
      <c r="J85" s="11"/>
      <c r="K85" s="28"/>
      <c r="L85" s="11"/>
      <c r="M85" s="3"/>
      <c r="N85" s="28"/>
    </row>
    <row r="86" spans="1:14" x14ac:dyDescent="0.25">
      <c r="D86" s="11"/>
      <c r="F86" s="11"/>
      <c r="H86" s="11"/>
      <c r="J86" s="11"/>
      <c r="K86" s="28"/>
      <c r="L86" s="11"/>
      <c r="N86" s="28" t="str">
        <f>_xlfn.IFNA(VLOOKUP($M86, XtEHR!A:F,2,FALSE)&amp;"."&amp;TRIM(VLOOKUP($M86, XtEHR!A:F,3,FALSE)),"-")</f>
        <v>-</v>
      </c>
    </row>
    <row r="87" spans="1:14" x14ac:dyDescent="0.25">
      <c r="D87" s="11"/>
      <c r="F87" s="11"/>
      <c r="H87" s="11"/>
      <c r="J87" s="11"/>
      <c r="K87" s="28"/>
      <c r="L87" s="11"/>
      <c r="N87" s="28"/>
    </row>
    <row r="88" spans="1:14" ht="18" thickBot="1" x14ac:dyDescent="0.35">
      <c r="D88" s="11" t="s">
        <v>992</v>
      </c>
      <c r="E88" s="29" t="s">
        <v>285</v>
      </c>
      <c r="F88" s="11" t="s">
        <v>992</v>
      </c>
      <c r="G88" s="29" t="s">
        <v>279</v>
      </c>
      <c r="H88" s="11" t="s">
        <v>992</v>
      </c>
      <c r="I88" s="29" t="s">
        <v>996</v>
      </c>
      <c r="J88" s="11" t="s">
        <v>992</v>
      </c>
      <c r="K88" s="29" t="s">
        <v>578</v>
      </c>
      <c r="L88" s="11" t="s">
        <v>992</v>
      </c>
      <c r="N88" s="28"/>
    </row>
    <row r="89" spans="1:14" ht="18.75" thickTop="1" thickBot="1" x14ac:dyDescent="0.35">
      <c r="D89" s="11" t="s">
        <v>992</v>
      </c>
      <c r="E89" s="36" t="s">
        <v>994</v>
      </c>
      <c r="F89" s="11" t="s">
        <v>992</v>
      </c>
      <c r="G89" s="36" t="s">
        <v>994</v>
      </c>
      <c r="H89" s="11" t="s">
        <v>992</v>
      </c>
      <c r="I89" s="36" t="s">
        <v>994</v>
      </c>
      <c r="J89" s="11" t="s">
        <v>992</v>
      </c>
      <c r="K89" s="36" t="s">
        <v>994</v>
      </c>
      <c r="L89" s="11" t="s">
        <v>992</v>
      </c>
      <c r="N89" s="28"/>
    </row>
    <row r="90" spans="1:14" ht="60.75" thickTop="1" x14ac:dyDescent="0.25">
      <c r="A90" t="s">
        <v>726</v>
      </c>
      <c r="B90" t="s">
        <v>78</v>
      </c>
      <c r="C90" s="15" t="s">
        <v>47</v>
      </c>
      <c r="D90" s="11" t="s">
        <v>992</v>
      </c>
      <c r="E90" s="15" t="str">
        <f t="shared" si="1"/>
        <v>Specimen.identifier</v>
      </c>
      <c r="F90" s="11" t="s">
        <v>992</v>
      </c>
      <c r="G90" s="15" t="str">
        <f>_xlfn.XLOOKUP(A90,KOS!Z:Z,KOS!N:N,"")</f>
        <v>Specimen module-Specimen description sequence-Specimen identifier</v>
      </c>
      <c r="H90" s="11" t="s">
        <v>992</v>
      </c>
      <c r="I90" s="15" t="str">
        <f>_xlfn.XLOOKUP(A90,'KOS SR'!V:V,'KOS SR'!N:N,"")</f>
        <v/>
      </c>
      <c r="J90" s="11" t="s">
        <v>992</v>
      </c>
      <c r="K90" s="28" t="str">
        <f>_xlfn.IFNA(VLOOKUP($M90, XtEHR!A:F,2,FALSE)&amp;"."&amp;TRIM(VLOOKUP($M90, XtEHR!A:F,3,FALSE)),"-")</f>
        <v>EHDSSpecimen.identifier</v>
      </c>
      <c r="L90" s="11" t="s">
        <v>992</v>
      </c>
      <c r="M90" s="2" t="s">
        <v>622</v>
      </c>
      <c r="N90" s="28" t="str">
        <f>_xlfn.IFNA(VLOOKUP($M90, XtEHR!A:F,2,FALSE)&amp;"."&amp;TRIM(VLOOKUP($M90, XtEHR!A:F,3,FALSE)),"-")</f>
        <v>EHDSSpecimen.identifier</v>
      </c>
    </row>
    <row r="91" spans="1:14" x14ac:dyDescent="0.25">
      <c r="A91" t="s">
        <v>727</v>
      </c>
      <c r="B91" t="s">
        <v>78</v>
      </c>
      <c r="C91" s="15" t="s">
        <v>65</v>
      </c>
      <c r="D91" s="11" t="s">
        <v>992</v>
      </c>
      <c r="E91" s="15" t="str">
        <f t="shared" si="1"/>
        <v>Specimen.status</v>
      </c>
      <c r="F91" s="11" t="s">
        <v>992</v>
      </c>
      <c r="G91" s="15" t="str">
        <f>_xlfn.XLOOKUP(A91,KOS!Z:Z,KOS!N:N,"")</f>
        <v/>
      </c>
      <c r="H91" s="11" t="s">
        <v>992</v>
      </c>
      <c r="I91" s="15" t="str">
        <f>_xlfn.XLOOKUP(A91,'KOS SR'!V:V,'KOS SR'!N:N,"")</f>
        <v/>
      </c>
      <c r="J91" s="11" t="s">
        <v>992</v>
      </c>
      <c r="K91" s="28" t="str">
        <f>_xlfn.IFNA(VLOOKUP($M91, XtEHR!A:F,2,FALSE)&amp;"."&amp;TRIM(VLOOKUP($M91, XtEHR!A:F,3,FALSE)),"-")</f>
        <v>EHDSSpecimen.status</v>
      </c>
      <c r="L91" s="11" t="s">
        <v>992</v>
      </c>
      <c r="M91" s="2" t="s">
        <v>623</v>
      </c>
      <c r="N91" s="28" t="str">
        <f>_xlfn.IFNA(VLOOKUP($M91, XtEHR!A:F,2,FALSE)&amp;"."&amp;TRIM(VLOOKUP($M91, XtEHR!A:F,3,FALSE)),"-")</f>
        <v>EHDSSpecimen.status</v>
      </c>
    </row>
    <row r="92" spans="1:14" ht="60" x14ac:dyDescent="0.25">
      <c r="A92" t="s">
        <v>728</v>
      </c>
      <c r="B92" t="s">
        <v>78</v>
      </c>
      <c r="C92" s="15" t="s">
        <v>252</v>
      </c>
      <c r="D92" s="11" t="s">
        <v>992</v>
      </c>
      <c r="E92" s="15" t="str">
        <f t="shared" si="1"/>
        <v>Specimen.type</v>
      </c>
      <c r="F92" s="11" t="s">
        <v>992</v>
      </c>
      <c r="G92" s="15" t="str">
        <f>_xlfn.XLOOKUP(A92,KOS!Z:Z,KOS!N:N,"")</f>
        <v>Specimen module-Specimen description sequence-Specimen Type Code Sequence</v>
      </c>
      <c r="H92" s="11" t="s">
        <v>992</v>
      </c>
      <c r="I92" s="15" t="str">
        <f>_xlfn.XLOOKUP(A92,'KOS SR'!V:V,'KOS SR'!N:N,"")</f>
        <v/>
      </c>
      <c r="J92" s="11" t="s">
        <v>992</v>
      </c>
      <c r="K92" s="28" t="str">
        <f>_xlfn.IFNA(VLOOKUP($M92, XtEHR!A:F,2,FALSE)&amp;"."&amp;TRIM(VLOOKUP($M92, XtEHR!A:F,3,FALSE)),"-")</f>
        <v>EHDSSpecimen.type</v>
      </c>
      <c r="L92" s="11" t="s">
        <v>992</v>
      </c>
      <c r="M92" s="2" t="s">
        <v>624</v>
      </c>
      <c r="N92" s="28" t="str">
        <f>_xlfn.IFNA(VLOOKUP($M92, XtEHR!A:F,2,FALSE)&amp;"."&amp;TRIM(VLOOKUP($M92, XtEHR!A:F,3,FALSE)),"-")</f>
        <v>EHDSSpecimen.type</v>
      </c>
    </row>
    <row r="93" spans="1:14" x14ac:dyDescent="0.25">
      <c r="A93" t="s">
        <v>729</v>
      </c>
      <c r="B93" t="s">
        <v>78</v>
      </c>
      <c r="C93" s="15" t="s">
        <v>259</v>
      </c>
      <c r="D93" s="11" t="s">
        <v>992</v>
      </c>
      <c r="E93" s="15" t="str">
        <f t="shared" si="1"/>
        <v>Specimen.specimenSource[x]</v>
      </c>
      <c r="F93" s="11" t="s">
        <v>992</v>
      </c>
      <c r="G93" s="15" t="str">
        <f>_xlfn.XLOOKUP(A93,KOS!Z:Z,KOS!N:N,"")</f>
        <v/>
      </c>
      <c r="H93" s="11" t="s">
        <v>992</v>
      </c>
      <c r="I93" s="15" t="str">
        <f>_xlfn.XLOOKUP(A93,'KOS SR'!V:V,'KOS SR'!N:N,"")</f>
        <v/>
      </c>
      <c r="J93" s="11" t="s">
        <v>992</v>
      </c>
      <c r="K93" s="28" t="str">
        <f>_xlfn.IFNA(VLOOKUP($M93, XtEHR!A:F,2,FALSE)&amp;"."&amp;TRIM(VLOOKUP($M93, XtEHR!A:F,3,FALSE)),"-")</f>
        <v>EHDSSpecimen.specimenSource[x]</v>
      </c>
      <c r="L93" s="11" t="s">
        <v>992</v>
      </c>
      <c r="M93" s="2" t="s">
        <v>625</v>
      </c>
      <c r="N93" s="28" t="str">
        <f>_xlfn.IFNA(VLOOKUP($M93, XtEHR!A:F,2,FALSE)&amp;"."&amp;TRIM(VLOOKUP($M93, XtEHR!A:F,3,FALSE)),"-")</f>
        <v>EHDSSpecimen.specimenSource[x]</v>
      </c>
    </row>
    <row r="94" spans="1:14" x14ac:dyDescent="0.25">
      <c r="A94" t="s">
        <v>730</v>
      </c>
      <c r="B94" t="s">
        <v>78</v>
      </c>
      <c r="C94" s="15" t="s">
        <v>259</v>
      </c>
      <c r="D94" s="11" t="s">
        <v>992</v>
      </c>
      <c r="E94" s="15" t="str">
        <f t="shared" si="1"/>
        <v>Specimen.specimenSource[x]</v>
      </c>
      <c r="F94" s="11" t="s">
        <v>992</v>
      </c>
      <c r="G94" s="15" t="str">
        <f>_xlfn.XLOOKUP(A94,KOS!Z:Z,KOS!N:N,"")</f>
        <v/>
      </c>
      <c r="H94" s="11" t="s">
        <v>992</v>
      </c>
      <c r="I94" s="15" t="str">
        <f>_xlfn.XLOOKUP(A94,'KOS SR'!V:V,'KOS SR'!N:N,"")</f>
        <v/>
      </c>
      <c r="J94" s="11" t="s">
        <v>992</v>
      </c>
      <c r="K94" s="28" t="str">
        <f>_xlfn.IFNA(VLOOKUP($M94, XtEHR!A:F,2,FALSE)&amp;"."&amp;TRIM(VLOOKUP($M94, XtEHR!A:F,3,FALSE)),"-")</f>
        <v>EHDSSpecimen.specimenSource[x]</v>
      </c>
      <c r="L94" s="11" t="s">
        <v>992</v>
      </c>
      <c r="M94" s="2" t="s">
        <v>626</v>
      </c>
      <c r="N94" s="28" t="str">
        <f>_xlfn.IFNA(VLOOKUP($M94, XtEHR!A:F,2,FALSE)&amp;"."&amp;TRIM(VLOOKUP($M94, XtEHR!A:F,3,FALSE)),"-")</f>
        <v>EHDSSpecimen.specimenSource[x]</v>
      </c>
    </row>
    <row r="95" spans="1:14" x14ac:dyDescent="0.25">
      <c r="A95" t="s">
        <v>731</v>
      </c>
      <c r="B95" t="s">
        <v>78</v>
      </c>
      <c r="C95" s="15" t="s">
        <v>259</v>
      </c>
      <c r="D95" s="11" t="s">
        <v>992</v>
      </c>
      <c r="E95" s="15" t="str">
        <f t="shared" si="1"/>
        <v>Specimen.specimenSource[x]</v>
      </c>
      <c r="F95" s="11" t="s">
        <v>992</v>
      </c>
      <c r="G95" s="15" t="str">
        <f>_xlfn.XLOOKUP(A95,KOS!Z:Z,KOS!N:N,"")</f>
        <v/>
      </c>
      <c r="H95" s="11" t="s">
        <v>992</v>
      </c>
      <c r="I95" s="15" t="str">
        <f>_xlfn.XLOOKUP(A95,'KOS SR'!V:V,'KOS SR'!N:N,"")</f>
        <v/>
      </c>
      <c r="J95" s="11" t="s">
        <v>992</v>
      </c>
      <c r="K95" s="28" t="str">
        <f>_xlfn.IFNA(VLOOKUP($M95, XtEHR!A:F,2,FALSE)&amp;"."&amp;TRIM(VLOOKUP($M95, XtEHR!A:F,3,FALSE)),"-")</f>
        <v>EHDSSpecimen.specimenSource[x]</v>
      </c>
      <c r="L95" s="11" t="s">
        <v>992</v>
      </c>
      <c r="M95" s="2" t="s">
        <v>627</v>
      </c>
      <c r="N95" s="28" t="str">
        <f>_xlfn.IFNA(VLOOKUP($M95, XtEHR!A:F,2,FALSE)&amp;"."&amp;TRIM(VLOOKUP($M95, XtEHR!A:F,3,FALSE)),"-")</f>
        <v>EHDSSpecimen.specimenSource[x]</v>
      </c>
    </row>
    <row r="96" spans="1:14" x14ac:dyDescent="0.25">
      <c r="A96" t="s">
        <v>732</v>
      </c>
      <c r="B96" t="s">
        <v>78</v>
      </c>
      <c r="C96" s="15" t="s">
        <v>260</v>
      </c>
      <c r="D96" s="11" t="s">
        <v>992</v>
      </c>
      <c r="E96" s="15" t="str">
        <f t="shared" si="1"/>
        <v>Specimen.parentSpecimen</v>
      </c>
      <c r="F96" s="11" t="s">
        <v>992</v>
      </c>
      <c r="G96" s="15" t="str">
        <f>_xlfn.XLOOKUP(A96,KOS!Z:Z,KOS!N:N,"")</f>
        <v/>
      </c>
      <c r="H96" s="11" t="s">
        <v>992</v>
      </c>
      <c r="I96" s="15" t="str">
        <f>_xlfn.XLOOKUP(A96,'KOS SR'!V:V,'KOS SR'!N:N,"")</f>
        <v/>
      </c>
      <c r="J96" s="11" t="s">
        <v>992</v>
      </c>
      <c r="K96" s="28" t="str">
        <f>_xlfn.IFNA(VLOOKUP($M96, XtEHR!A:F,2,FALSE)&amp;"."&amp;TRIM(VLOOKUP($M96, XtEHR!A:F,3,FALSE)),"-")</f>
        <v>EHDSSpecimen.parentSpecimen</v>
      </c>
      <c r="L96" s="11" t="s">
        <v>992</v>
      </c>
      <c r="M96" s="2" t="s">
        <v>628</v>
      </c>
      <c r="N96" s="28" t="str">
        <f>_xlfn.IFNA(VLOOKUP($M96, XtEHR!A:F,2,FALSE)&amp;"."&amp;TRIM(VLOOKUP($M96, XtEHR!A:F,3,FALSE)),"-")</f>
        <v>EHDSSpecimen.parentSpecimen</v>
      </c>
    </row>
    <row r="97" spans="1:14" x14ac:dyDescent="0.25">
      <c r="A97" t="s">
        <v>733</v>
      </c>
      <c r="B97" t="s">
        <v>78</v>
      </c>
      <c r="C97" s="15" t="s">
        <v>261</v>
      </c>
      <c r="D97" s="11" t="s">
        <v>992</v>
      </c>
      <c r="E97" s="15" t="str">
        <f t="shared" si="1"/>
        <v>Specimen.request</v>
      </c>
      <c r="F97" s="11" t="s">
        <v>992</v>
      </c>
      <c r="G97" s="15" t="str">
        <f>_xlfn.XLOOKUP(A97,KOS!Z:Z,KOS!N:N,"")</f>
        <v/>
      </c>
      <c r="H97" s="11" t="s">
        <v>992</v>
      </c>
      <c r="I97" s="15" t="str">
        <f>_xlfn.XLOOKUP(A97,'KOS SR'!V:V,'KOS SR'!N:N,"")</f>
        <v/>
      </c>
      <c r="J97" s="11" t="s">
        <v>992</v>
      </c>
      <c r="K97" s="28" t="str">
        <f>_xlfn.IFNA(VLOOKUP($M97, XtEHR!A:F,2,FALSE)&amp;"."&amp;TRIM(VLOOKUP($M97, XtEHR!A:F,3,FALSE)),"-")</f>
        <v>EHDSSpecimen.request</v>
      </c>
      <c r="L97" s="11" t="s">
        <v>992</v>
      </c>
      <c r="M97" s="2" t="s">
        <v>629</v>
      </c>
      <c r="N97" s="28" t="str">
        <f>_xlfn.IFNA(VLOOKUP($M97, XtEHR!A:F,2,FALSE)&amp;"."&amp;TRIM(VLOOKUP($M97, XtEHR!A:F,3,FALSE)),"-")</f>
        <v>EHDSSpecimen.request</v>
      </c>
    </row>
    <row r="98" spans="1:14" x14ac:dyDescent="0.25">
      <c r="A98" t="s">
        <v>734</v>
      </c>
      <c r="B98" t="s">
        <v>78</v>
      </c>
      <c r="C98" s="15" t="s">
        <v>262</v>
      </c>
      <c r="D98" s="11" t="s">
        <v>992</v>
      </c>
      <c r="E98" s="15" t="str">
        <f t="shared" si="1"/>
        <v>Specimen.combined</v>
      </c>
      <c r="F98" s="11" t="s">
        <v>992</v>
      </c>
      <c r="G98" s="15" t="str">
        <f>_xlfn.XLOOKUP(A98,KOS!Z:Z,KOS!N:N,"")</f>
        <v/>
      </c>
      <c r="H98" s="11" t="s">
        <v>992</v>
      </c>
      <c r="I98" s="15" t="str">
        <f>_xlfn.XLOOKUP(A98,'KOS SR'!V:V,'KOS SR'!N:N,"")</f>
        <v/>
      </c>
      <c r="J98" s="11" t="s">
        <v>992</v>
      </c>
      <c r="K98" s="28" t="str">
        <f>_xlfn.IFNA(VLOOKUP($M98, XtEHR!A:F,2,FALSE)&amp;"."&amp;TRIM(VLOOKUP($M98, XtEHR!A:F,3,FALSE)),"-")</f>
        <v>EHDSSpecimen.combined</v>
      </c>
      <c r="L98" s="11" t="s">
        <v>992</v>
      </c>
      <c r="M98" s="2" t="s">
        <v>630</v>
      </c>
      <c r="N98" s="28" t="str">
        <f>_xlfn.IFNA(VLOOKUP($M98, XtEHR!A:F,2,FALSE)&amp;"."&amp;TRIM(VLOOKUP($M98, XtEHR!A:F,3,FALSE)),"-")</f>
        <v>EHDSSpecimen.combined</v>
      </c>
    </row>
    <row r="99" spans="1:14" x14ac:dyDescent="0.25">
      <c r="A99" t="s">
        <v>735</v>
      </c>
      <c r="B99" t="s">
        <v>78</v>
      </c>
      <c r="C99" s="15" t="s">
        <v>263</v>
      </c>
      <c r="D99" s="11" t="s">
        <v>992</v>
      </c>
      <c r="E99" s="15" t="str">
        <f t="shared" si="1"/>
        <v>Specimen.collection</v>
      </c>
      <c r="F99" s="11" t="s">
        <v>992</v>
      </c>
      <c r="G99" s="15" t="str">
        <f>_xlfn.XLOOKUP(A99,KOS!Z:Z,KOS!N:N,"")</f>
        <v/>
      </c>
      <c r="H99" s="11" t="s">
        <v>992</v>
      </c>
      <c r="I99" s="15" t="str">
        <f>_xlfn.XLOOKUP(A99,'KOS SR'!V:V,'KOS SR'!N:N,"")</f>
        <v/>
      </c>
      <c r="J99" s="11" t="s">
        <v>992</v>
      </c>
      <c r="K99" s="28" t="str">
        <f>_xlfn.IFNA(VLOOKUP($M99, XtEHR!A:F,2,FALSE)&amp;"."&amp;TRIM(VLOOKUP($M99, XtEHR!A:F,3,FALSE)),"-")</f>
        <v>EHDSSpecimen.collection</v>
      </c>
      <c r="L99" s="11" t="s">
        <v>992</v>
      </c>
      <c r="M99" s="2" t="s">
        <v>631</v>
      </c>
      <c r="N99" s="28" t="str">
        <f>_xlfn.IFNA(VLOOKUP($M99, XtEHR!A:F,2,FALSE)&amp;"."&amp;TRIM(VLOOKUP($M99, XtEHR!A:F,3,FALSE)),"-")</f>
        <v>EHDSSpecimen.collection</v>
      </c>
    </row>
    <row r="100" spans="1:14" x14ac:dyDescent="0.25">
      <c r="A100" t="s">
        <v>736</v>
      </c>
      <c r="B100" t="s">
        <v>78</v>
      </c>
      <c r="C100" s="15" t="s">
        <v>264</v>
      </c>
      <c r="D100" s="11" t="s">
        <v>992</v>
      </c>
      <c r="E100" s="15" t="str">
        <f t="shared" si="1"/>
        <v>Specimen.collection.performer[x]</v>
      </c>
      <c r="F100" s="11" t="s">
        <v>992</v>
      </c>
      <c r="G100" s="15" t="str">
        <f>_xlfn.XLOOKUP(A100,KOS!Z:Z,KOS!N:N,"")</f>
        <v/>
      </c>
      <c r="H100" s="11" t="s">
        <v>992</v>
      </c>
      <c r="I100" s="15" t="str">
        <f>_xlfn.XLOOKUP(A100,'KOS SR'!V:V,'KOS SR'!N:N,"")</f>
        <v/>
      </c>
      <c r="J100" s="11" t="s">
        <v>992</v>
      </c>
      <c r="K100" s="28" t="str">
        <f>_xlfn.IFNA(VLOOKUP($M100, XtEHR!A:F,2,FALSE)&amp;"."&amp;TRIM(VLOOKUP($M100, XtEHR!A:F,3,FALSE)),"-")</f>
        <v>EHDSSpecimen.collection.performer[x]</v>
      </c>
      <c r="L100" s="11" t="s">
        <v>992</v>
      </c>
      <c r="M100" s="2" t="s">
        <v>632</v>
      </c>
      <c r="N100" s="28" t="str">
        <f>_xlfn.IFNA(VLOOKUP($M100, XtEHR!A:F,2,FALSE)&amp;"."&amp;TRIM(VLOOKUP($M100, XtEHR!A:F,3,FALSE)),"-")</f>
        <v>EHDSSpecimen.collection.performer[x]</v>
      </c>
    </row>
    <row r="101" spans="1:14" x14ac:dyDescent="0.25">
      <c r="A101" t="s">
        <v>737</v>
      </c>
      <c r="B101" t="s">
        <v>78</v>
      </c>
      <c r="C101" s="15" t="s">
        <v>264</v>
      </c>
      <c r="D101" s="11" t="s">
        <v>992</v>
      </c>
      <c r="E101" s="15" t="str">
        <f t="shared" si="1"/>
        <v>Specimen.collection.performer[x]</v>
      </c>
      <c r="F101" s="11" t="s">
        <v>992</v>
      </c>
      <c r="G101" s="15" t="str">
        <f>_xlfn.XLOOKUP(A101,KOS!Z:Z,KOS!N:N,"")</f>
        <v/>
      </c>
      <c r="H101" s="11" t="s">
        <v>992</v>
      </c>
      <c r="I101" s="15" t="str">
        <f>_xlfn.XLOOKUP(A101,'KOS SR'!V:V,'KOS SR'!N:N,"")</f>
        <v/>
      </c>
      <c r="J101" s="11" t="s">
        <v>992</v>
      </c>
      <c r="K101" s="28" t="str">
        <f>_xlfn.IFNA(VLOOKUP($M101, XtEHR!A:F,2,FALSE)&amp;"."&amp;TRIM(VLOOKUP($M101, XtEHR!A:F,3,FALSE)),"-")</f>
        <v>EHDSSpecimen.collection.performer[x]</v>
      </c>
      <c r="L101" s="11" t="s">
        <v>992</v>
      </c>
      <c r="M101" s="2" t="s">
        <v>633</v>
      </c>
      <c r="N101" s="28" t="str">
        <f>_xlfn.IFNA(VLOOKUP($M101, XtEHR!A:F,2,FALSE)&amp;"."&amp;TRIM(VLOOKUP($M101, XtEHR!A:F,3,FALSE)),"-")</f>
        <v>EHDSSpecimen.collection.performer[x]</v>
      </c>
    </row>
    <row r="102" spans="1:14" x14ac:dyDescent="0.25">
      <c r="A102" t="s">
        <v>738</v>
      </c>
      <c r="B102" t="s">
        <v>78</v>
      </c>
      <c r="C102" s="15" t="s">
        <v>264</v>
      </c>
      <c r="D102" s="11" t="s">
        <v>992</v>
      </c>
      <c r="E102" s="15" t="str">
        <f t="shared" si="1"/>
        <v>Specimen.collection.performer[x]</v>
      </c>
      <c r="F102" s="11" t="s">
        <v>992</v>
      </c>
      <c r="G102" s="15" t="str">
        <f>_xlfn.XLOOKUP(A102,KOS!Z:Z,KOS!N:N,"")</f>
        <v/>
      </c>
      <c r="H102" s="11" t="s">
        <v>992</v>
      </c>
      <c r="I102" s="15" t="str">
        <f>_xlfn.XLOOKUP(A102,'KOS SR'!V:V,'KOS SR'!N:N,"")</f>
        <v/>
      </c>
      <c r="J102" s="11" t="s">
        <v>992</v>
      </c>
      <c r="K102" s="28" t="str">
        <f>_xlfn.IFNA(VLOOKUP($M102, XtEHR!A:F,2,FALSE)&amp;"."&amp;TRIM(VLOOKUP($M102, XtEHR!A:F,3,FALSE)),"-")</f>
        <v>EHDSSpecimen.collection.performer[x]</v>
      </c>
      <c r="L102" s="11" t="s">
        <v>992</v>
      </c>
      <c r="M102" s="2" t="s">
        <v>634</v>
      </c>
      <c r="N102" s="28" t="str">
        <f>_xlfn.IFNA(VLOOKUP($M102, XtEHR!A:F,2,FALSE)&amp;"."&amp;TRIM(VLOOKUP($M102, XtEHR!A:F,3,FALSE)),"-")</f>
        <v>EHDSSpecimen.collection.performer[x]</v>
      </c>
    </row>
    <row r="103" spans="1:14" x14ac:dyDescent="0.25">
      <c r="A103" t="s">
        <v>739</v>
      </c>
      <c r="B103" t="s">
        <v>78</v>
      </c>
      <c r="C103" s="15" t="s">
        <v>264</v>
      </c>
      <c r="D103" s="11" t="s">
        <v>992</v>
      </c>
      <c r="E103" s="15" t="str">
        <f t="shared" si="1"/>
        <v>Specimen.collection.performer[x]</v>
      </c>
      <c r="F103" s="11" t="s">
        <v>992</v>
      </c>
      <c r="G103" s="15" t="str">
        <f>_xlfn.XLOOKUP(A103,KOS!Z:Z,KOS!N:N,"")</f>
        <v/>
      </c>
      <c r="H103" s="11" t="s">
        <v>992</v>
      </c>
      <c r="I103" s="15" t="str">
        <f>_xlfn.XLOOKUP(A103,'KOS SR'!V:V,'KOS SR'!N:N,"")</f>
        <v/>
      </c>
      <c r="J103" s="11" t="s">
        <v>992</v>
      </c>
      <c r="K103" s="28" t="str">
        <f>_xlfn.IFNA(VLOOKUP($M103, XtEHR!A:F,2,FALSE)&amp;"."&amp;TRIM(VLOOKUP($M103, XtEHR!A:F,3,FALSE)),"-")</f>
        <v>EHDSSpecimen.collection.performer[x]</v>
      </c>
      <c r="L103" s="11" t="s">
        <v>992</v>
      </c>
      <c r="M103" s="2" t="s">
        <v>635</v>
      </c>
      <c r="N103" s="28" t="str">
        <f>_xlfn.IFNA(VLOOKUP($M103, XtEHR!A:F,2,FALSE)&amp;"."&amp;TRIM(VLOOKUP($M103, XtEHR!A:F,3,FALSE)),"-")</f>
        <v>EHDSSpecimen.collection.performer[x]</v>
      </c>
    </row>
    <row r="104" spans="1:14" x14ac:dyDescent="0.25">
      <c r="A104" t="s">
        <v>740</v>
      </c>
      <c r="B104" t="s">
        <v>78</v>
      </c>
      <c r="C104" s="15" t="s">
        <v>265</v>
      </c>
      <c r="D104" s="11" t="s">
        <v>992</v>
      </c>
      <c r="E104" s="15" t="str">
        <f t="shared" si="1"/>
        <v>Specimen.collection.collected[x]</v>
      </c>
      <c r="F104" s="11" t="s">
        <v>992</v>
      </c>
      <c r="G104" s="15" t="str">
        <f>_xlfn.XLOOKUP(A104,KOS!Z:Z,KOS!N:N,"")</f>
        <v/>
      </c>
      <c r="H104" s="11" t="s">
        <v>992</v>
      </c>
      <c r="I104" s="15" t="str">
        <f>_xlfn.XLOOKUP(A104,'KOS SR'!V:V,'KOS SR'!N:N,"")</f>
        <v/>
      </c>
      <c r="J104" s="11" t="s">
        <v>992</v>
      </c>
      <c r="K104" s="28" t="str">
        <f>_xlfn.IFNA(VLOOKUP($M104, XtEHR!A:F,2,FALSE)&amp;"."&amp;TRIM(VLOOKUP($M104, XtEHR!A:F,3,FALSE)),"-")</f>
        <v>EHDSSpecimen.collection.collected[x]</v>
      </c>
      <c r="L104" s="11" t="s">
        <v>992</v>
      </c>
      <c r="M104" s="2" t="s">
        <v>636</v>
      </c>
      <c r="N104" s="28" t="str">
        <f>_xlfn.IFNA(VLOOKUP($M104, XtEHR!A:F,2,FALSE)&amp;"."&amp;TRIM(VLOOKUP($M104, XtEHR!A:F,3,FALSE)),"-")</f>
        <v>EHDSSpecimen.collection.collected[x]</v>
      </c>
    </row>
    <row r="105" spans="1:14" x14ac:dyDescent="0.25">
      <c r="A105" t="s">
        <v>741</v>
      </c>
      <c r="B105" t="s">
        <v>78</v>
      </c>
      <c r="C105" s="15" t="s">
        <v>265</v>
      </c>
      <c r="D105" s="11" t="s">
        <v>992</v>
      </c>
      <c r="E105" s="15" t="str">
        <f t="shared" si="1"/>
        <v>Specimen.collection.collected[x]</v>
      </c>
      <c r="F105" s="11" t="s">
        <v>992</v>
      </c>
      <c r="G105" s="15" t="str">
        <f>_xlfn.XLOOKUP(A105,KOS!Z:Z,KOS!N:N,"")</f>
        <v/>
      </c>
      <c r="H105" s="11" t="s">
        <v>992</v>
      </c>
      <c r="I105" s="15" t="str">
        <f>_xlfn.XLOOKUP(A105,'KOS SR'!V:V,'KOS SR'!N:N,"")</f>
        <v/>
      </c>
      <c r="J105" s="11" t="s">
        <v>992</v>
      </c>
      <c r="K105" s="28" t="str">
        <f>_xlfn.IFNA(VLOOKUP($M105, XtEHR!A:F,2,FALSE)&amp;"."&amp;TRIM(VLOOKUP($M105, XtEHR!A:F,3,FALSE)),"-")</f>
        <v>EHDSSpecimen.collection.collected[x]</v>
      </c>
      <c r="L105" s="11" t="s">
        <v>992</v>
      </c>
      <c r="M105" s="2" t="s">
        <v>637</v>
      </c>
      <c r="N105" s="28" t="str">
        <f>_xlfn.IFNA(VLOOKUP($M105, XtEHR!A:F,2,FALSE)&amp;"."&amp;TRIM(VLOOKUP($M105, XtEHR!A:F,3,FALSE)),"-")</f>
        <v>EHDSSpecimen.collection.collected[x]</v>
      </c>
    </row>
    <row r="106" spans="1:14" x14ac:dyDescent="0.25">
      <c r="A106" t="s">
        <v>742</v>
      </c>
      <c r="B106" t="s">
        <v>78</v>
      </c>
      <c r="C106" s="15" t="s">
        <v>266</v>
      </c>
      <c r="D106" s="11" t="s">
        <v>992</v>
      </c>
      <c r="E106" s="15" t="str">
        <f t="shared" si="1"/>
        <v>Specimen.collection.quantity</v>
      </c>
      <c r="F106" s="11" t="s">
        <v>992</v>
      </c>
      <c r="G106" s="15" t="str">
        <f>_xlfn.XLOOKUP(A106,KOS!Z:Z,KOS!N:N,"")</f>
        <v/>
      </c>
      <c r="H106" s="11" t="s">
        <v>992</v>
      </c>
      <c r="I106" s="15" t="str">
        <f>_xlfn.XLOOKUP(A106,'KOS SR'!V:V,'KOS SR'!N:N,"")</f>
        <v/>
      </c>
      <c r="J106" s="11" t="s">
        <v>992</v>
      </c>
      <c r="K106" s="28" t="str">
        <f>_xlfn.IFNA(VLOOKUP($M106, XtEHR!A:F,2,FALSE)&amp;"."&amp;TRIM(VLOOKUP($M106, XtEHR!A:F,3,FALSE)),"-")</f>
        <v>EHDSSpecimen.collection.quantity</v>
      </c>
      <c r="L106" s="11" t="s">
        <v>992</v>
      </c>
      <c r="M106" s="2" t="s">
        <v>638</v>
      </c>
      <c r="N106" s="28" t="str">
        <f>_xlfn.IFNA(VLOOKUP($M106, XtEHR!A:F,2,FALSE)&amp;"."&amp;TRIM(VLOOKUP($M106, XtEHR!A:F,3,FALSE)),"-")</f>
        <v>EHDSSpecimen.collection.quantity</v>
      </c>
    </row>
    <row r="107" spans="1:14" ht="60" x14ac:dyDescent="0.25">
      <c r="A107" t="s">
        <v>743</v>
      </c>
      <c r="B107" t="s">
        <v>78</v>
      </c>
      <c r="C107" s="15" t="s">
        <v>267</v>
      </c>
      <c r="D107" s="11" t="s">
        <v>992</v>
      </c>
      <c r="E107" s="15" t="str">
        <f t="shared" si="1"/>
        <v>Specimen.collection.method</v>
      </c>
      <c r="F107" s="11" t="s">
        <v>992</v>
      </c>
      <c r="G107" s="15" t="str">
        <f>_xlfn.XLOOKUP(A107,KOS!Z:Z,KOS!N:N,"")</f>
        <v>Specimen module-Specimen description sequence-Specimen Preparation Sequence</v>
      </c>
      <c r="H107" s="11" t="s">
        <v>992</v>
      </c>
      <c r="I107" s="15" t="str">
        <f>_xlfn.XLOOKUP(A107,'KOS SR'!V:V,'KOS SR'!N:N,"")</f>
        <v/>
      </c>
      <c r="J107" s="11" t="s">
        <v>992</v>
      </c>
      <c r="K107" s="28" t="str">
        <f>_xlfn.IFNA(VLOOKUP($M107, XtEHR!A:F,2,FALSE)&amp;"."&amp;TRIM(VLOOKUP($M107, XtEHR!A:F,3,FALSE)),"-")</f>
        <v>EHDSSpecimen.collection.method</v>
      </c>
      <c r="L107" s="11" t="s">
        <v>992</v>
      </c>
      <c r="M107" s="2" t="s">
        <v>639</v>
      </c>
      <c r="N107" s="28" t="str">
        <f>_xlfn.IFNA(VLOOKUP($M107, XtEHR!A:F,2,FALSE)&amp;"."&amp;TRIM(VLOOKUP($M107, XtEHR!A:F,3,FALSE)),"-")</f>
        <v>EHDSSpecimen.collection.method</v>
      </c>
    </row>
    <row r="108" spans="1:14" x14ac:dyDescent="0.25">
      <c r="A108" t="s">
        <v>744</v>
      </c>
      <c r="B108" t="s">
        <v>78</v>
      </c>
      <c r="C108" s="15" t="s">
        <v>268</v>
      </c>
      <c r="D108" s="11" t="s">
        <v>992</v>
      </c>
      <c r="E108" s="15" t="str">
        <f t="shared" si="1"/>
        <v>Specimen.collection.device</v>
      </c>
      <c r="F108" s="11" t="s">
        <v>992</v>
      </c>
      <c r="G108" s="15" t="str">
        <f>_xlfn.XLOOKUP(A108,KOS!Z:Z,KOS!N:N,"")</f>
        <v/>
      </c>
      <c r="H108" s="11" t="s">
        <v>992</v>
      </c>
      <c r="I108" s="15" t="str">
        <f>_xlfn.XLOOKUP(A108,'KOS SR'!V:V,'KOS SR'!N:N,"")</f>
        <v/>
      </c>
      <c r="J108" s="11" t="s">
        <v>992</v>
      </c>
      <c r="K108" s="28" t="str">
        <f>_xlfn.IFNA(VLOOKUP($M108, XtEHR!A:F,2,FALSE)&amp;"."&amp;TRIM(VLOOKUP($M108, XtEHR!A:F,3,FALSE)),"-")</f>
        <v>EHDSSpecimen.collection.device</v>
      </c>
      <c r="L108" s="11" t="s">
        <v>992</v>
      </c>
      <c r="M108" s="2" t="s">
        <v>640</v>
      </c>
      <c r="N108" s="28" t="str">
        <f>_xlfn.IFNA(VLOOKUP($M108, XtEHR!A:F,2,FALSE)&amp;"."&amp;TRIM(VLOOKUP($M108, XtEHR!A:F,3,FALSE)),"-")</f>
        <v>EHDSSpecimen.collection.device</v>
      </c>
    </row>
    <row r="109" spans="1:14" ht="75" x14ac:dyDescent="0.25">
      <c r="A109" t="s">
        <v>745</v>
      </c>
      <c r="B109" t="s">
        <v>78</v>
      </c>
      <c r="C109" s="15" t="s">
        <v>269</v>
      </c>
      <c r="D109" s="11" t="s">
        <v>992</v>
      </c>
      <c r="E109" s="15" t="str">
        <f t="shared" si="1"/>
        <v>Specimen.collection.bodySite</v>
      </c>
      <c r="F109" s="11" t="s">
        <v>992</v>
      </c>
      <c r="G109" s="15" t="str">
        <f>_xlfn.XLOOKUP(A109,KOS!Z:Z,KOS!N:N,"")</f>
        <v>Specimen module-Specimen description sequence-Primary Anatomical structure sequence</v>
      </c>
      <c r="H109" s="11" t="s">
        <v>992</v>
      </c>
      <c r="I109" s="15" t="str">
        <f>_xlfn.XLOOKUP(A109,'KOS SR'!V:V,'KOS SR'!N:N,"")</f>
        <v/>
      </c>
      <c r="J109" s="11" t="s">
        <v>992</v>
      </c>
      <c r="K109" s="28" t="str">
        <f>_xlfn.IFNA(VLOOKUP($M109, XtEHR!A:F,2,FALSE)&amp;"."&amp;TRIM(VLOOKUP($M109, XtEHR!A:F,3,FALSE)),"-")</f>
        <v>EHDSSpecimen.collection.bodySite</v>
      </c>
      <c r="L109" s="11" t="s">
        <v>992</v>
      </c>
      <c r="M109" s="2" t="s">
        <v>641</v>
      </c>
      <c r="N109" s="28" t="str">
        <f>_xlfn.IFNA(VLOOKUP($M109, XtEHR!A:F,2,FALSE)&amp;"."&amp;TRIM(VLOOKUP($M109, XtEHR!A:F,3,FALSE)),"-")</f>
        <v>EHDSSpecimen.collection.bodySite</v>
      </c>
    </row>
    <row r="110" spans="1:14" x14ac:dyDescent="0.25">
      <c r="A110" t="s">
        <v>746</v>
      </c>
      <c r="B110" t="s">
        <v>78</v>
      </c>
      <c r="C110" s="15" t="s">
        <v>270</v>
      </c>
      <c r="D110" s="11" t="s">
        <v>992</v>
      </c>
      <c r="E110" s="15" t="str">
        <f t="shared" si="1"/>
        <v>Specimen.receivedDate</v>
      </c>
      <c r="F110" s="11" t="s">
        <v>992</v>
      </c>
      <c r="G110" s="15" t="str">
        <f>_xlfn.XLOOKUP(A110,KOS!Z:Z,KOS!N:N,"")</f>
        <v/>
      </c>
      <c r="H110" s="11" t="s">
        <v>992</v>
      </c>
      <c r="I110" s="15" t="str">
        <f>_xlfn.XLOOKUP(A110,'KOS SR'!V:V,'KOS SR'!N:N,"")</f>
        <v/>
      </c>
      <c r="J110" s="11" t="s">
        <v>992</v>
      </c>
      <c r="K110" s="28" t="str">
        <f>_xlfn.IFNA(VLOOKUP($M110, XtEHR!A:F,2,FALSE)&amp;"."&amp;TRIM(VLOOKUP($M110, XtEHR!A:F,3,FALSE)),"-")</f>
        <v>EHDSSpecimen.receivedDate</v>
      </c>
      <c r="L110" s="11" t="s">
        <v>992</v>
      </c>
      <c r="M110" s="2" t="s">
        <v>642</v>
      </c>
      <c r="N110" s="28" t="str">
        <f>_xlfn.IFNA(VLOOKUP($M110, XtEHR!A:F,2,FALSE)&amp;"."&amp;TRIM(VLOOKUP($M110, XtEHR!A:F,3,FALSE)),"-")</f>
        <v>EHDSSpecimen.receivedDate</v>
      </c>
    </row>
    <row r="111" spans="1:14" x14ac:dyDescent="0.25">
      <c r="A111" t="s">
        <v>747</v>
      </c>
      <c r="B111" t="s">
        <v>78</v>
      </c>
      <c r="C111" s="15" t="s">
        <v>271</v>
      </c>
      <c r="D111" s="11" t="s">
        <v>992</v>
      </c>
      <c r="E111" s="15" t="str">
        <f t="shared" si="1"/>
        <v>Specimen.container</v>
      </c>
      <c r="F111" s="11" t="s">
        <v>992</v>
      </c>
      <c r="G111" s="15" t="str">
        <f>_xlfn.XLOOKUP(A111,KOS!Z:Z,KOS!N:N,"")</f>
        <v/>
      </c>
      <c r="H111" s="11" t="s">
        <v>992</v>
      </c>
      <c r="I111" s="15" t="str">
        <f>_xlfn.XLOOKUP(A111,'KOS SR'!V:V,'KOS SR'!N:N,"")</f>
        <v/>
      </c>
      <c r="J111" s="11" t="s">
        <v>992</v>
      </c>
      <c r="K111" s="28" t="str">
        <f>_xlfn.IFNA(VLOOKUP($M111, XtEHR!A:F,2,FALSE)&amp;"."&amp;TRIM(VLOOKUP($M111, XtEHR!A:F,3,FALSE)),"-")</f>
        <v>EHDSSpecimen.container</v>
      </c>
      <c r="L111" s="11" t="s">
        <v>992</v>
      </c>
      <c r="M111" s="2" t="s">
        <v>643</v>
      </c>
      <c r="N111" s="28" t="str">
        <f>_xlfn.IFNA(VLOOKUP($M111, XtEHR!A:F,2,FALSE)&amp;"."&amp;TRIM(VLOOKUP($M111, XtEHR!A:F,3,FALSE)),"-")</f>
        <v>EHDSSpecimen.container</v>
      </c>
    </row>
    <row r="112" spans="1:14" x14ac:dyDescent="0.25">
      <c r="A112" t="s">
        <v>748</v>
      </c>
      <c r="B112" t="s">
        <v>78</v>
      </c>
      <c r="C112" s="15" t="s">
        <v>272</v>
      </c>
      <c r="D112" s="11" t="s">
        <v>992</v>
      </c>
      <c r="E112" s="15" t="str">
        <f t="shared" si="1"/>
        <v>Specimen.container.specimenQuantity</v>
      </c>
      <c r="F112" s="11" t="s">
        <v>992</v>
      </c>
      <c r="G112" s="15" t="str">
        <f>_xlfn.XLOOKUP(A112,KOS!Z:Z,KOS!N:N,"")</f>
        <v/>
      </c>
      <c r="H112" s="11" t="s">
        <v>992</v>
      </c>
      <c r="I112" s="15" t="str">
        <f>_xlfn.XLOOKUP(A112,'KOS SR'!V:V,'KOS SR'!N:N,"")</f>
        <v/>
      </c>
      <c r="J112" s="11" t="s">
        <v>992</v>
      </c>
      <c r="K112" s="28" t="str">
        <f>_xlfn.IFNA(VLOOKUP($M112, XtEHR!A:F,2,FALSE)&amp;"."&amp;TRIM(VLOOKUP($M112, XtEHR!A:F,3,FALSE)),"-")</f>
        <v>EHDSSpecimen.container.specimenQuantity</v>
      </c>
      <c r="L112" s="11" t="s">
        <v>992</v>
      </c>
      <c r="M112" s="2" t="s">
        <v>644</v>
      </c>
      <c r="N112" s="28" t="str">
        <f>_xlfn.IFNA(VLOOKUP($M112, XtEHR!A:F,2,FALSE)&amp;"."&amp;TRIM(VLOOKUP($M112, XtEHR!A:F,3,FALSE)),"-")</f>
        <v>EHDSSpecimen.container.specimenQuantity</v>
      </c>
    </row>
    <row r="113" spans="1:14" x14ac:dyDescent="0.25">
      <c r="A113" t="s">
        <v>749</v>
      </c>
      <c r="B113" t="s">
        <v>78</v>
      </c>
      <c r="C113" s="15" t="s">
        <v>273</v>
      </c>
      <c r="D113" s="11" t="s">
        <v>992</v>
      </c>
      <c r="E113" s="15" t="str">
        <f t="shared" si="1"/>
        <v>Specimen.container.containerDevice</v>
      </c>
      <c r="F113" s="11" t="s">
        <v>992</v>
      </c>
      <c r="G113" s="15" t="str">
        <f>_xlfn.XLOOKUP(A113,KOS!Z:Z,KOS!N:N,"")</f>
        <v/>
      </c>
      <c r="H113" s="11" t="s">
        <v>992</v>
      </c>
      <c r="I113" s="15" t="str">
        <f>_xlfn.XLOOKUP(A113,'KOS SR'!V:V,'KOS SR'!N:N,"")</f>
        <v/>
      </c>
      <c r="J113" s="11" t="s">
        <v>992</v>
      </c>
      <c r="K113" s="28" t="str">
        <f>_xlfn.IFNA(VLOOKUP($M113, XtEHR!A:F,2,FALSE)&amp;"."&amp;TRIM(VLOOKUP($M113, XtEHR!A:F,3,FALSE)),"-")</f>
        <v>EHDSSpecimen.container.containerDevice</v>
      </c>
      <c r="L113" s="11" t="s">
        <v>992</v>
      </c>
      <c r="M113" s="2" t="s">
        <v>645</v>
      </c>
      <c r="N113" s="28" t="str">
        <f>_xlfn.IFNA(VLOOKUP($M113, XtEHR!A:F,2,FALSE)&amp;"."&amp;TRIM(VLOOKUP($M113, XtEHR!A:F,3,FALSE)),"-")</f>
        <v>EHDSSpecimen.container.containerDevice</v>
      </c>
    </row>
    <row r="114" spans="1:14" x14ac:dyDescent="0.25">
      <c r="A114" t="s">
        <v>750</v>
      </c>
      <c r="B114" t="s">
        <v>78</v>
      </c>
      <c r="C114" s="15" t="s">
        <v>274</v>
      </c>
      <c r="D114" s="11" t="s">
        <v>992</v>
      </c>
      <c r="E114" s="15" t="str">
        <f t="shared" si="1"/>
        <v>Specimen.condition</v>
      </c>
      <c r="F114" s="11" t="s">
        <v>992</v>
      </c>
      <c r="G114" s="15" t="str">
        <f>_xlfn.XLOOKUP(A114,KOS!Z:Z,KOS!N:N,"")</f>
        <v/>
      </c>
      <c r="H114" s="11" t="s">
        <v>992</v>
      </c>
      <c r="I114" s="15" t="str">
        <f>_xlfn.XLOOKUP(A114,'KOS SR'!V:V,'KOS SR'!N:N,"")</f>
        <v/>
      </c>
      <c r="J114" s="11" t="s">
        <v>992</v>
      </c>
      <c r="K114" s="28" t="str">
        <f>_xlfn.IFNA(VLOOKUP($M114, XtEHR!A:F,2,FALSE)&amp;"."&amp;TRIM(VLOOKUP($M114, XtEHR!A:F,3,FALSE)),"-")</f>
        <v>EHDSSpecimen.condition</v>
      </c>
      <c r="L114" s="11" t="s">
        <v>992</v>
      </c>
      <c r="M114" s="2" t="s">
        <v>646</v>
      </c>
      <c r="N114" s="28" t="str">
        <f>_xlfn.IFNA(VLOOKUP($M114, XtEHR!A:F,2,FALSE)&amp;"."&amp;TRIM(VLOOKUP($M114, XtEHR!A:F,3,FALSE)),"-")</f>
        <v>EHDSSpecimen.condition</v>
      </c>
    </row>
    <row r="115" spans="1:14" ht="60" x14ac:dyDescent="0.25">
      <c r="A115" t="s">
        <v>751</v>
      </c>
      <c r="B115" t="s">
        <v>78</v>
      </c>
      <c r="C115" s="15" t="s">
        <v>275</v>
      </c>
      <c r="D115" s="11" t="s">
        <v>992</v>
      </c>
      <c r="E115" s="15" t="str">
        <f t="shared" si="1"/>
        <v>Specimen.note</v>
      </c>
      <c r="F115" s="11" t="s">
        <v>992</v>
      </c>
      <c r="G115" s="15" t="str">
        <f>_xlfn.XLOOKUP(A115,KOS!Z:Z,KOS!N:N,"")</f>
        <v>Specimen module-Specimen description sequence-Speciment short description</v>
      </c>
      <c r="H115" s="11" t="s">
        <v>992</v>
      </c>
      <c r="I115" s="15" t="str">
        <f>_xlfn.XLOOKUP(A115,'KOS SR'!V:V,'KOS SR'!N:N,"")</f>
        <v/>
      </c>
      <c r="J115" s="11" t="s">
        <v>992</v>
      </c>
      <c r="K115" s="28" t="str">
        <f>_xlfn.IFNA(VLOOKUP($M115, XtEHR!A:F,2,FALSE)&amp;"."&amp;TRIM(VLOOKUP($M115, XtEHR!A:F,3,FALSE)),"-")</f>
        <v>EHDSSpecimen.note</v>
      </c>
      <c r="L115" s="11" t="s">
        <v>992</v>
      </c>
      <c r="M115" s="2" t="s">
        <v>647</v>
      </c>
      <c r="N115" s="28" t="str">
        <f>_xlfn.IFNA(VLOOKUP($M115, XtEHR!A:F,2,FALSE)&amp;"."&amp;TRIM(VLOOKUP($M115, XtEHR!A:F,3,FALSE)),"-")</f>
        <v>EHDSSpecimen.note</v>
      </c>
    </row>
    <row r="116" spans="1:14" x14ac:dyDescent="0.25">
      <c r="D116" s="11"/>
      <c r="F116" s="11"/>
      <c r="H116" s="11"/>
      <c r="J116" s="11"/>
      <c r="K116" s="28"/>
      <c r="L116" s="11"/>
      <c r="M116" s="1"/>
      <c r="N116" s="28" t="str">
        <f>_xlfn.IFNA(VLOOKUP($M116, XtEHR!A:F,2,FALSE)&amp;"."&amp;TRIM(VLOOKUP($M116, XtEHR!A:F,3,FALSE)),"-")</f>
        <v>-</v>
      </c>
    </row>
    <row r="117" spans="1:14" ht="18" thickBot="1" x14ac:dyDescent="0.35">
      <c r="D117" s="11" t="s">
        <v>992</v>
      </c>
      <c r="E117" s="29" t="s">
        <v>285</v>
      </c>
      <c r="F117" s="11" t="s">
        <v>992</v>
      </c>
      <c r="G117" s="29" t="s">
        <v>279</v>
      </c>
      <c r="H117" s="11" t="s">
        <v>992</v>
      </c>
      <c r="I117" s="29" t="s">
        <v>996</v>
      </c>
      <c r="J117" s="11" t="s">
        <v>992</v>
      </c>
      <c r="K117" s="29" t="s">
        <v>578</v>
      </c>
      <c r="L117" s="11" t="s">
        <v>992</v>
      </c>
      <c r="M117" s="1"/>
      <c r="N117" s="28"/>
    </row>
    <row r="118" spans="1:14" ht="18.75" thickTop="1" thickBot="1" x14ac:dyDescent="0.35">
      <c r="D118" s="11" t="s">
        <v>992</v>
      </c>
      <c r="E118" s="36" t="s">
        <v>994</v>
      </c>
      <c r="F118" s="11" t="s">
        <v>992</v>
      </c>
      <c r="G118" s="36" t="s">
        <v>994</v>
      </c>
      <c r="H118" s="11" t="s">
        <v>992</v>
      </c>
      <c r="I118" s="36" t="s">
        <v>994</v>
      </c>
      <c r="J118" s="11" t="s">
        <v>992</v>
      </c>
      <c r="K118" s="36" t="s">
        <v>994</v>
      </c>
      <c r="L118" s="11" t="s">
        <v>992</v>
      </c>
      <c r="M118" s="1"/>
      <c r="N118" s="28"/>
    </row>
    <row r="119" spans="1:14" ht="15.75" thickTop="1" x14ac:dyDescent="0.25">
      <c r="A119" t="s">
        <v>752</v>
      </c>
      <c r="B119" t="s">
        <v>648</v>
      </c>
      <c r="C119" s="15" t="s">
        <v>46</v>
      </c>
      <c r="D119" s="11" t="s">
        <v>992</v>
      </c>
      <c r="E119" s="15" t="str">
        <f t="shared" si="1"/>
        <v>ServiceRequest-Order.subject</v>
      </c>
      <c r="F119" s="11" t="s">
        <v>992</v>
      </c>
      <c r="G119" s="15" t="str">
        <f>_xlfn.XLOOKUP(A119,KOS!Z:Z,KOS!N:N,"")</f>
        <v/>
      </c>
      <c r="H119" s="11" t="s">
        <v>992</v>
      </c>
      <c r="I119" s="15" t="str">
        <f>_xlfn.XLOOKUP(A119,'KOS SR'!V:V,'KOS SR'!N:N,"")</f>
        <v/>
      </c>
      <c r="J119" s="11" t="s">
        <v>992</v>
      </c>
      <c r="K119" s="28" t="str">
        <f>_xlfn.IFNA(VLOOKUP($M119, XtEHR!A:F,2,FALSE)&amp;"."&amp;TRIM(VLOOKUP($M119, XtEHR!A:F,3,FALSE)),"-")</f>
        <v>EHDSServiceRequest.header.subject</v>
      </c>
      <c r="L119" s="11" t="s">
        <v>992</v>
      </c>
      <c r="M119" s="1" t="s">
        <v>651</v>
      </c>
      <c r="N119" s="28" t="str">
        <f>_xlfn.IFNA(VLOOKUP($M119, XtEHR!A:F,2,FALSE)&amp;"."&amp;TRIM(VLOOKUP($M119, XtEHR!A:F,3,FALSE)),"-")</f>
        <v>EHDSServiceRequest.header.subject</v>
      </c>
    </row>
    <row r="120" spans="1:14" ht="30" x14ac:dyDescent="0.25">
      <c r="A120" t="s">
        <v>753</v>
      </c>
      <c r="B120" t="s">
        <v>648</v>
      </c>
      <c r="C120" s="15" t="s">
        <v>47</v>
      </c>
      <c r="D120" s="11" t="s">
        <v>992</v>
      </c>
      <c r="E120" s="15" t="str">
        <f t="shared" si="1"/>
        <v>ServiceRequest-Order.identifier</v>
      </c>
      <c r="F120" s="11" t="s">
        <v>992</v>
      </c>
      <c r="G120" s="15" t="str">
        <f>_xlfn.XLOOKUP(A120,KOS!Z:Z,KOS!N:N,"")</f>
        <v>General Study-AccessionNumber</v>
      </c>
      <c r="H120" s="11" t="s">
        <v>992</v>
      </c>
      <c r="I120" s="15" t="str">
        <f>_xlfn.XLOOKUP(A120,'KOS SR'!V:V,'KOS SR'!N:N,"")</f>
        <v/>
      </c>
      <c r="J120" s="11" t="s">
        <v>992</v>
      </c>
      <c r="K120" s="28" t="str">
        <f>_xlfn.IFNA(VLOOKUP($M120, XtEHR!A:F,2,FALSE)&amp;"."&amp;TRIM(VLOOKUP($M120, XtEHR!A:F,3,FALSE)),"-")</f>
        <v>EHDSServiceRequest.header.identifier</v>
      </c>
      <c r="L120" s="11" t="s">
        <v>992</v>
      </c>
      <c r="M120" s="1" t="s">
        <v>652</v>
      </c>
      <c r="N120" s="28" t="str">
        <f>_xlfn.IFNA(VLOOKUP($M120, XtEHR!A:F,2,FALSE)&amp;"."&amp;TRIM(VLOOKUP($M120, XtEHR!A:F,3,FALSE)),"-")</f>
        <v>EHDSServiceRequest.header.identifier</v>
      </c>
    </row>
    <row r="121" spans="1:14" x14ac:dyDescent="0.25">
      <c r="A121" t="s">
        <v>754</v>
      </c>
      <c r="B121" t="s">
        <v>648</v>
      </c>
      <c r="C121" s="15" t="s">
        <v>276</v>
      </c>
      <c r="D121" s="11" t="s">
        <v>992</v>
      </c>
      <c r="E121" s="15" t="str">
        <f t="shared" si="1"/>
        <v>ServiceRequest-Order.requester</v>
      </c>
      <c r="F121" s="11" t="s">
        <v>992</v>
      </c>
      <c r="G121" s="15" t="str">
        <f>_xlfn.XLOOKUP(A121,KOS!Z:Z,KOS!N:N,"")</f>
        <v/>
      </c>
      <c r="H121" s="11" t="s">
        <v>992</v>
      </c>
      <c r="I121" s="15" t="str">
        <f>_xlfn.XLOOKUP(A121,'KOS SR'!V:V,'KOS SR'!N:N,"")</f>
        <v/>
      </c>
      <c r="J121" s="11" t="s">
        <v>992</v>
      </c>
      <c r="K121" s="28" t="str">
        <f>_xlfn.IFNA(VLOOKUP($M121, XtEHR!A:F,2,FALSE)&amp;"."&amp;TRIM(VLOOKUP($M121, XtEHR!A:F,3,FALSE)),"-")</f>
        <v>EHDSServiceRequest.header.author[EHDSHealthProcessional]</v>
      </c>
      <c r="L121" s="11" t="s">
        <v>992</v>
      </c>
      <c r="M121" s="1" t="s">
        <v>653</v>
      </c>
      <c r="N121" s="28" t="str">
        <f>_xlfn.IFNA(VLOOKUP($M121, XtEHR!A:F,2,FALSE)&amp;"."&amp;TRIM(VLOOKUP($M121, XtEHR!A:F,3,FALSE)),"-")</f>
        <v>EHDSServiceRequest.header.author[EHDSHealthProcessional]</v>
      </c>
    </row>
    <row r="122" spans="1:14" x14ac:dyDescent="0.25">
      <c r="A122" t="s">
        <v>755</v>
      </c>
      <c r="B122" t="s">
        <v>648</v>
      </c>
      <c r="C122" s="15" t="s">
        <v>276</v>
      </c>
      <c r="D122" s="11" t="s">
        <v>992</v>
      </c>
      <c r="E122" s="15" t="str">
        <f t="shared" si="1"/>
        <v>ServiceRequest-Order.requester</v>
      </c>
      <c r="F122" s="11" t="s">
        <v>992</v>
      </c>
      <c r="G122" s="15" t="str">
        <f>_xlfn.XLOOKUP(A122,KOS!Z:Z,KOS!N:N,"")</f>
        <v/>
      </c>
      <c r="H122" s="11" t="s">
        <v>992</v>
      </c>
      <c r="I122" s="15" t="str">
        <f>_xlfn.XLOOKUP(A122,'KOS SR'!V:V,'KOS SR'!N:N,"")</f>
        <v/>
      </c>
      <c r="J122" s="11" t="s">
        <v>992</v>
      </c>
      <c r="K122" s="28" t="str">
        <f>_xlfn.IFNA(VLOOKUP($M122, XtEHR!A:F,2,FALSE)&amp;"."&amp;TRIM(VLOOKUP($M122, XtEHR!A:F,3,FALSE)),"-")</f>
        <v>EHDSServiceRequest.header.author[EHDSOrganization]</v>
      </c>
      <c r="L122" s="11" t="s">
        <v>992</v>
      </c>
      <c r="M122" s="1" t="s">
        <v>654</v>
      </c>
      <c r="N122" s="28" t="str">
        <f>_xlfn.IFNA(VLOOKUP($M122, XtEHR!A:F,2,FALSE)&amp;"."&amp;TRIM(VLOOKUP($M122, XtEHR!A:F,3,FALSE)),"-")</f>
        <v>EHDSServiceRequest.header.author[EHDSOrganization]</v>
      </c>
    </row>
    <row r="123" spans="1:14" x14ac:dyDescent="0.25">
      <c r="A123" t="s">
        <v>756</v>
      </c>
      <c r="B123" t="s">
        <v>648</v>
      </c>
      <c r="C123" s="15" t="s">
        <v>276</v>
      </c>
      <c r="D123" s="11" t="s">
        <v>992</v>
      </c>
      <c r="E123" s="15" t="str">
        <f t="shared" si="1"/>
        <v>ServiceRequest-Order.requester</v>
      </c>
      <c r="F123" s="11" t="s">
        <v>992</v>
      </c>
      <c r="G123" s="15" t="str">
        <f>_xlfn.XLOOKUP(A123,KOS!Z:Z,KOS!N:N,"")</f>
        <v/>
      </c>
      <c r="H123" s="11" t="s">
        <v>992</v>
      </c>
      <c r="I123" s="15" t="str">
        <f>_xlfn.XLOOKUP(A123,'KOS SR'!V:V,'KOS SR'!N:N,"")</f>
        <v/>
      </c>
      <c r="J123" s="11" t="s">
        <v>992</v>
      </c>
      <c r="K123" s="28" t="str">
        <f>_xlfn.IFNA(VLOOKUP($M123, XtEHR!A:F,2,FALSE)&amp;"."&amp;TRIM(VLOOKUP($M123, XtEHR!A:F,3,FALSE)),"-")</f>
        <v>EHDSServiceRequest.header.author[EHDSDevice]</v>
      </c>
      <c r="L123" s="11" t="s">
        <v>992</v>
      </c>
      <c r="M123" s="1" t="s">
        <v>655</v>
      </c>
      <c r="N123" s="28" t="str">
        <f>_xlfn.IFNA(VLOOKUP($M123, XtEHR!A:F,2,FALSE)&amp;"."&amp;TRIM(VLOOKUP($M123, XtEHR!A:F,3,FALSE)),"-")</f>
        <v>EHDSServiceRequest.header.author[EHDSDevice]</v>
      </c>
    </row>
    <row r="124" spans="1:14" x14ac:dyDescent="0.25">
      <c r="A124" t="s">
        <v>757</v>
      </c>
      <c r="B124" t="s">
        <v>648</v>
      </c>
      <c r="C124" s="15" t="s">
        <v>277</v>
      </c>
      <c r="D124" s="11" t="s">
        <v>992</v>
      </c>
      <c r="E124" s="15" t="str">
        <f t="shared" si="1"/>
        <v>ServiceRequest-Order.authoredOn</v>
      </c>
      <c r="F124" s="11" t="s">
        <v>992</v>
      </c>
      <c r="G124" s="15" t="str">
        <f>_xlfn.XLOOKUP(A124,KOS!Z:Z,KOS!N:N,"")</f>
        <v/>
      </c>
      <c r="H124" s="11" t="s">
        <v>992</v>
      </c>
      <c r="I124" s="15" t="str">
        <f>_xlfn.XLOOKUP(A124,'KOS SR'!V:V,'KOS SR'!N:N,"")</f>
        <v/>
      </c>
      <c r="J124" s="11" t="s">
        <v>992</v>
      </c>
      <c r="K124" s="28" t="str">
        <f>_xlfn.IFNA(VLOOKUP($M124, XtEHR!A:F,2,FALSE)&amp;"."&amp;TRIM(VLOOKUP($M124, XtEHR!A:F,3,FALSE)),"-")</f>
        <v>EHDSServiceRequest.header.date</v>
      </c>
      <c r="L124" s="11" t="s">
        <v>992</v>
      </c>
      <c r="M124" s="1" t="s">
        <v>656</v>
      </c>
      <c r="N124" s="28" t="str">
        <f>_xlfn.IFNA(VLOOKUP($M124, XtEHR!A:F,2,FALSE)&amp;"."&amp;TRIM(VLOOKUP($M124, XtEHR!A:F,3,FALSE)),"-")</f>
        <v>EHDSServiceRequest.header.date</v>
      </c>
    </row>
    <row r="125" spans="1:14" x14ac:dyDescent="0.25">
      <c r="A125" t="s">
        <v>758</v>
      </c>
      <c r="B125" t="s">
        <v>648</v>
      </c>
      <c r="C125" s="15" t="s">
        <v>65</v>
      </c>
      <c r="D125" s="11" t="s">
        <v>992</v>
      </c>
      <c r="E125" s="15" t="str">
        <f t="shared" si="1"/>
        <v>ServiceRequest-Order.status</v>
      </c>
      <c r="F125" s="11" t="s">
        <v>992</v>
      </c>
      <c r="G125" s="15" t="str">
        <f>_xlfn.XLOOKUP(A125,KOS!Z:Z,KOS!N:N,"")</f>
        <v/>
      </c>
      <c r="H125" s="11" t="s">
        <v>992</v>
      </c>
      <c r="I125" s="15" t="str">
        <f>_xlfn.XLOOKUP(A125,'KOS SR'!V:V,'KOS SR'!N:N,"")</f>
        <v/>
      </c>
      <c r="J125" s="11" t="s">
        <v>992</v>
      </c>
      <c r="K125" s="28" t="str">
        <f>_xlfn.IFNA(VLOOKUP($M125, XtEHR!A:F,2,FALSE)&amp;"."&amp;TRIM(VLOOKUP($M125, XtEHR!A:F,3,FALSE)),"-")</f>
        <v>EHDSServiceRequest.header.status</v>
      </c>
      <c r="L125" s="11" t="s">
        <v>992</v>
      </c>
      <c r="M125" s="1" t="s">
        <v>657</v>
      </c>
      <c r="N125" s="28" t="str">
        <f>_xlfn.IFNA(VLOOKUP($M125, XtEHR!A:F,2,FALSE)&amp;"."&amp;TRIM(VLOOKUP($M125, XtEHR!A:F,3,FALSE)),"-")</f>
        <v>EHDSServiceRequest.header.status</v>
      </c>
    </row>
    <row r="126" spans="1:14" x14ac:dyDescent="0.25">
      <c r="A126" t="s">
        <v>759</v>
      </c>
      <c r="B126" t="s">
        <v>648</v>
      </c>
      <c r="C126" s="15" t="s">
        <v>66</v>
      </c>
      <c r="D126" s="11" t="s">
        <v>992</v>
      </c>
      <c r="E126" s="15" t="str">
        <f t="shared" si="1"/>
        <v>ServiceRequest-Order.language</v>
      </c>
      <c r="F126" s="11" t="s">
        <v>992</v>
      </c>
      <c r="G126" s="15" t="str">
        <f>_xlfn.XLOOKUP(A126,KOS!Z:Z,KOS!N:N,"")</f>
        <v/>
      </c>
      <c r="H126" s="11" t="s">
        <v>992</v>
      </c>
      <c r="I126" s="15" t="str">
        <f>_xlfn.XLOOKUP(A126,'KOS SR'!V:V,'KOS SR'!N:N,"")</f>
        <v/>
      </c>
      <c r="J126" s="11" t="s">
        <v>992</v>
      </c>
      <c r="K126" s="28" t="str">
        <f>_xlfn.IFNA(VLOOKUP($M126, XtEHR!A:F,2,FALSE)&amp;"."&amp;TRIM(VLOOKUP($M126, XtEHR!A:F,3,FALSE)),"-")</f>
        <v>EHDSServiceRequest.header.language</v>
      </c>
      <c r="L126" s="11" t="s">
        <v>992</v>
      </c>
      <c r="M126" s="1" t="s">
        <v>658</v>
      </c>
      <c r="N126" s="28" t="str">
        <f>_xlfn.IFNA(VLOOKUP($M126, XtEHR!A:F,2,FALSE)&amp;"."&amp;TRIM(VLOOKUP($M126, XtEHR!A:F,3,FALSE)),"-")</f>
        <v>EHDSServiceRequest.header.language</v>
      </c>
    </row>
    <row r="127" spans="1:14" x14ac:dyDescent="0.25">
      <c r="A127" t="s">
        <v>760</v>
      </c>
      <c r="B127" t="s">
        <v>648</v>
      </c>
      <c r="C127" s="15" t="s">
        <v>74</v>
      </c>
      <c r="D127" s="11" t="s">
        <v>992</v>
      </c>
      <c r="E127" s="15" t="str">
        <f t="shared" si="1"/>
        <v>ServiceRequest-Order.description</v>
      </c>
      <c r="F127" s="11" t="s">
        <v>992</v>
      </c>
      <c r="G127" s="15" t="str">
        <f>_xlfn.XLOOKUP(A127,KOS!Z:Z,KOS!N:N,"")</f>
        <v/>
      </c>
      <c r="H127" s="11" t="s">
        <v>992</v>
      </c>
      <c r="I127" s="15" t="str">
        <f>_xlfn.XLOOKUP(A127,'KOS SR'!V:V,'KOS SR'!N:N,"")</f>
        <v/>
      </c>
      <c r="J127" s="11" t="s">
        <v>992</v>
      </c>
      <c r="K127" s="28" t="str">
        <f>_xlfn.IFNA(VLOOKUP($M127, XtEHR!A:F,2,FALSE)&amp;"."&amp;TRIM(VLOOKUP($M127, XtEHR!A:F,3,FALSE)),"-")</f>
        <v>EHDSServiceRequest.description</v>
      </c>
      <c r="L127" s="11" t="s">
        <v>992</v>
      </c>
      <c r="M127" s="1" t="s">
        <v>659</v>
      </c>
      <c r="N127" s="28" t="str">
        <f>_xlfn.IFNA(VLOOKUP($M127, XtEHR!A:F,2,FALSE)&amp;"."&amp;TRIM(VLOOKUP($M127, XtEHR!A:F,3,FALSE)),"-")</f>
        <v>EHDSServiceRequest.description</v>
      </c>
    </row>
    <row r="128" spans="1:14" x14ac:dyDescent="0.25">
      <c r="A128" t="s">
        <v>761</v>
      </c>
      <c r="B128" t="s">
        <v>648</v>
      </c>
      <c r="C128" s="15" t="s">
        <v>90</v>
      </c>
      <c r="D128" s="11" t="s">
        <v>992</v>
      </c>
      <c r="E128" s="15" t="str">
        <f t="shared" si="1"/>
        <v>ServiceRequest-Order.code</v>
      </c>
      <c r="F128" s="11" t="s">
        <v>992</v>
      </c>
      <c r="G128" s="15" t="str">
        <f>_xlfn.XLOOKUP(A128,KOS!Z:Z,KOS!N:N,"")</f>
        <v/>
      </c>
      <c r="H128" s="11" t="s">
        <v>992</v>
      </c>
      <c r="I128" s="15" t="str">
        <f>_xlfn.XLOOKUP(A128,'KOS SR'!V:V,'KOS SR'!N:N,"")</f>
        <v/>
      </c>
      <c r="J128" s="11" t="s">
        <v>992</v>
      </c>
      <c r="K128" s="28" t="str">
        <f>_xlfn.IFNA(VLOOKUP($M128, XtEHR!A:F,2,FALSE)&amp;"."&amp;TRIM(VLOOKUP($M128, XtEHR!A:F,3,FALSE)),"-")</f>
        <v>EHDSServiceRequest.code</v>
      </c>
      <c r="L128" s="11" t="s">
        <v>992</v>
      </c>
      <c r="M128" s="1" t="s">
        <v>660</v>
      </c>
      <c r="N128" s="28" t="str">
        <f>_xlfn.IFNA(VLOOKUP($M128, XtEHR!A:F,2,FALSE)&amp;"."&amp;TRIM(VLOOKUP($M128, XtEHR!A:F,3,FALSE)),"-")</f>
        <v>EHDSServiceRequest.code</v>
      </c>
    </row>
    <row r="129" spans="1:14" x14ac:dyDescent="0.25">
      <c r="A129" t="s">
        <v>762</v>
      </c>
      <c r="B129" t="s">
        <v>648</v>
      </c>
      <c r="C129" s="15" t="s">
        <v>254</v>
      </c>
      <c r="D129" s="11" t="s">
        <v>992</v>
      </c>
      <c r="E129" s="15" t="str">
        <f t="shared" si="1"/>
        <v>ServiceRequest-Order.quantity</v>
      </c>
      <c r="F129" s="11" t="s">
        <v>992</v>
      </c>
      <c r="G129" s="15" t="str">
        <f>_xlfn.XLOOKUP(A129,KOS!Z:Z,KOS!N:N,"")</f>
        <v/>
      </c>
      <c r="H129" s="11" t="s">
        <v>992</v>
      </c>
      <c r="I129" s="15" t="str">
        <f>_xlfn.XLOOKUP(A129,'KOS SR'!V:V,'KOS SR'!N:N,"")</f>
        <v/>
      </c>
      <c r="J129" s="11" t="s">
        <v>992</v>
      </c>
      <c r="K129" s="28" t="str">
        <f>_xlfn.IFNA(VLOOKUP($M129, XtEHR!A:F,2,FALSE)&amp;"."&amp;TRIM(VLOOKUP($M129, XtEHR!A:F,3,FALSE)),"-")</f>
        <v>EHDSServiceRequest.quantity</v>
      </c>
      <c r="L129" s="11" t="s">
        <v>992</v>
      </c>
      <c r="M129" s="1" t="s">
        <v>661</v>
      </c>
      <c r="N129" s="28" t="str">
        <f>_xlfn.IFNA(VLOOKUP($M129, XtEHR!A:F,2,FALSE)&amp;"."&amp;TRIM(VLOOKUP($M129, XtEHR!A:F,3,FALSE)),"-")</f>
        <v>EHDSServiceRequest.quantity</v>
      </c>
    </row>
    <row r="130" spans="1:14" x14ac:dyDescent="0.25">
      <c r="A130" t="s">
        <v>763</v>
      </c>
      <c r="B130" t="s">
        <v>648</v>
      </c>
      <c r="C130" s="15" t="s">
        <v>68</v>
      </c>
      <c r="D130" s="11" t="s">
        <v>992</v>
      </c>
      <c r="E130" s="15" t="str">
        <f t="shared" si="1"/>
        <v>ServiceRequest-Order.bodySite</v>
      </c>
      <c r="F130" s="11" t="s">
        <v>992</v>
      </c>
      <c r="G130" s="15" t="str">
        <f>_xlfn.XLOOKUP(A130,KOS!Z:Z,KOS!N:N,"")</f>
        <v/>
      </c>
      <c r="H130" s="11" t="s">
        <v>992</v>
      </c>
      <c r="I130" s="15" t="str">
        <f>_xlfn.XLOOKUP(A130,'KOS SR'!V:V,'KOS SR'!N:N,"")</f>
        <v/>
      </c>
      <c r="J130" s="11" t="s">
        <v>992</v>
      </c>
      <c r="K130" s="28" t="str">
        <f>_xlfn.IFNA(VLOOKUP($M130, XtEHR!A:F,2,FALSE)&amp;"."&amp;TRIM(VLOOKUP($M130, XtEHR!A:F,3,FALSE)),"-")</f>
        <v>EHDSServiceRequest.bodySite</v>
      </c>
      <c r="L130" s="11" t="s">
        <v>992</v>
      </c>
      <c r="M130" s="1" t="s">
        <v>662</v>
      </c>
      <c r="N130" s="28" t="str">
        <f>_xlfn.IFNA(VLOOKUP($M130, XtEHR!A:F,2,FALSE)&amp;"."&amp;TRIM(VLOOKUP($M130, XtEHR!A:F,3,FALSE)),"-")</f>
        <v>EHDSServiceRequest.bodySite</v>
      </c>
    </row>
    <row r="131" spans="1:14" ht="45" x14ac:dyDescent="0.25">
      <c r="A131" t="s">
        <v>764</v>
      </c>
      <c r="B131" t="s">
        <v>648</v>
      </c>
      <c r="C131" s="15" t="s">
        <v>278</v>
      </c>
      <c r="D131" s="11" t="s">
        <v>992</v>
      </c>
      <c r="E131" s="15" t="str">
        <f t="shared" si="1"/>
        <v>ServiceRequest-Order.reasonReference</v>
      </c>
      <c r="F131" s="11" t="s">
        <v>992</v>
      </c>
      <c r="G131" s="15" t="str">
        <f>_xlfn.XLOOKUP(A131,KOS!Z:Z,KOS!N:N,"")</f>
        <v>General Study-RefferringPhusician's Name</v>
      </c>
      <c r="H131" s="11" t="s">
        <v>992</v>
      </c>
      <c r="I131" s="15" t="str">
        <f>_xlfn.XLOOKUP(A131,'KOS SR'!V:V,'KOS SR'!N:N,"")</f>
        <v/>
      </c>
      <c r="J131" s="11" t="s">
        <v>992</v>
      </c>
      <c r="K131" s="28" t="str">
        <f>_xlfn.IFNA(VLOOKUP($M131, XtEHR!A:F,2,FALSE)&amp;"."&amp;TRIM(VLOOKUP($M131, XtEHR!A:F,3,FALSE)),"-")</f>
        <v>EHDSServiceRequest.reason[x]</v>
      </c>
      <c r="L131" s="11" t="s">
        <v>992</v>
      </c>
      <c r="M131" s="1" t="s">
        <v>663</v>
      </c>
      <c r="N131" s="28" t="str">
        <f>_xlfn.IFNA(VLOOKUP($M131, XtEHR!A:F,2,FALSE)&amp;"."&amp;TRIM(VLOOKUP($M131, XtEHR!A:F,3,FALSE)),"-")</f>
        <v>EHDSServiceRequest.reason[x]</v>
      </c>
    </row>
    <row r="132" spans="1:14" x14ac:dyDescent="0.25">
      <c r="A132" t="s">
        <v>765</v>
      </c>
      <c r="B132" t="s">
        <v>648</v>
      </c>
      <c r="C132" s="15" t="s">
        <v>278</v>
      </c>
      <c r="D132" s="11" t="s">
        <v>992</v>
      </c>
      <c r="E132" s="15" t="str">
        <f t="shared" si="1"/>
        <v>ServiceRequest-Order.reasonReference</v>
      </c>
      <c r="F132" s="11" t="s">
        <v>992</v>
      </c>
      <c r="G132" s="15" t="str">
        <f>_xlfn.XLOOKUP(A132,KOS!Z:Z,KOS!N:N,"")</f>
        <v/>
      </c>
      <c r="H132" s="11" t="s">
        <v>992</v>
      </c>
      <c r="I132" s="15" t="str">
        <f>_xlfn.XLOOKUP(A132,'KOS SR'!V:V,'KOS SR'!N:N,"")</f>
        <v/>
      </c>
      <c r="J132" s="11" t="s">
        <v>992</v>
      </c>
      <c r="K132" s="28" t="str">
        <f>_xlfn.IFNA(VLOOKUP($M132, XtEHR!A:F,2,FALSE)&amp;"."&amp;TRIM(VLOOKUP($M132, XtEHR!A:F,3,FALSE)),"-")</f>
        <v>EHDSServiceRequest.reason[x]</v>
      </c>
      <c r="L132" s="11" t="s">
        <v>992</v>
      </c>
      <c r="M132" s="1" t="s">
        <v>664</v>
      </c>
      <c r="N132" s="28" t="str">
        <f>_xlfn.IFNA(VLOOKUP($M132, XtEHR!A:F,2,FALSE)&amp;"."&amp;TRIM(VLOOKUP($M132, XtEHR!A:F,3,FALSE)),"-")</f>
        <v>EHDSServiceRequest.reason[x]</v>
      </c>
    </row>
    <row r="133" spans="1:14" x14ac:dyDescent="0.25">
      <c r="A133" t="s">
        <v>766</v>
      </c>
      <c r="B133" t="s">
        <v>648</v>
      </c>
      <c r="C133" s="15" t="s">
        <v>278</v>
      </c>
      <c r="D133" s="11" t="s">
        <v>992</v>
      </c>
      <c r="E133" s="15" t="str">
        <f t="shared" si="1"/>
        <v>ServiceRequest-Order.reasonReference</v>
      </c>
      <c r="F133" s="11" t="s">
        <v>992</v>
      </c>
      <c r="G133" s="15" t="str">
        <f>_xlfn.XLOOKUP(A133,KOS!Z:Z,KOS!N:N,"")</f>
        <v/>
      </c>
      <c r="H133" s="11" t="s">
        <v>992</v>
      </c>
      <c r="I133" s="15" t="str">
        <f>_xlfn.XLOOKUP(A133,'KOS SR'!V:V,'KOS SR'!N:N,"")</f>
        <v/>
      </c>
      <c r="J133" s="11" t="s">
        <v>992</v>
      </c>
      <c r="K133" s="28" t="str">
        <f>_xlfn.IFNA(VLOOKUP($M133, XtEHR!A:F,2,FALSE)&amp;"."&amp;TRIM(VLOOKUP($M133, XtEHR!A:F,3,FALSE)),"-")</f>
        <v>EHDSServiceRequest.reason[x]</v>
      </c>
      <c r="L133" s="11" t="s">
        <v>992</v>
      </c>
      <c r="M133" s="1" t="s">
        <v>665</v>
      </c>
      <c r="N133" s="28" t="str">
        <f>_xlfn.IFNA(VLOOKUP($M133, XtEHR!A:F,2,FALSE)&amp;"."&amp;TRIM(VLOOKUP($M133, XtEHR!A:F,3,FALSE)),"-")</f>
        <v>EHDSServiceRequest.reason[x]</v>
      </c>
    </row>
    <row r="134" spans="1:14" x14ac:dyDescent="0.25">
      <c r="A134" t="s">
        <v>767</v>
      </c>
      <c r="B134" t="s">
        <v>648</v>
      </c>
      <c r="C134" s="15" t="s">
        <v>278</v>
      </c>
      <c r="D134" s="11" t="s">
        <v>992</v>
      </c>
      <c r="E134" s="15" t="str">
        <f t="shared" si="1"/>
        <v>ServiceRequest-Order.reasonReference</v>
      </c>
      <c r="F134" s="11" t="s">
        <v>992</v>
      </c>
      <c r="G134" s="15" t="str">
        <f>_xlfn.XLOOKUP(A134,KOS!Z:Z,KOS!N:N,"")</f>
        <v/>
      </c>
      <c r="H134" s="11" t="s">
        <v>992</v>
      </c>
      <c r="I134" s="15" t="str">
        <f>_xlfn.XLOOKUP(A134,'KOS SR'!V:V,'KOS SR'!N:N,"")</f>
        <v/>
      </c>
      <c r="J134" s="11" t="s">
        <v>992</v>
      </c>
      <c r="K134" s="28" t="str">
        <f>_xlfn.IFNA(VLOOKUP($M134, XtEHR!A:F,2,FALSE)&amp;"."&amp;TRIM(VLOOKUP($M134, XtEHR!A:F,3,FALSE)),"-")</f>
        <v>EHDSServiceRequest.reason[x]</v>
      </c>
      <c r="L134" s="11" t="s">
        <v>992</v>
      </c>
      <c r="M134" s="1" t="s">
        <v>666</v>
      </c>
      <c r="N134" s="28" t="str">
        <f>_xlfn.IFNA(VLOOKUP($M134, XtEHR!A:F,2,FALSE)&amp;"."&amp;TRIM(VLOOKUP($M134, XtEHR!A:F,3,FALSE)),"-")</f>
        <v>EHDSServiceRequest.reason[x]</v>
      </c>
    </row>
    <row r="135" spans="1:14" x14ac:dyDescent="0.25">
      <c r="A135" t="s">
        <v>768</v>
      </c>
      <c r="B135" t="s">
        <v>648</v>
      </c>
      <c r="C135" s="15" t="s">
        <v>255</v>
      </c>
      <c r="D135" s="11" t="s">
        <v>992</v>
      </c>
      <c r="E135" s="15" t="str">
        <f t="shared" si="1"/>
        <v>ServiceRequest-Order.priority</v>
      </c>
      <c r="F135" s="11" t="s">
        <v>992</v>
      </c>
      <c r="G135" s="15" t="str">
        <f>_xlfn.XLOOKUP(A135,KOS!Z:Z,KOS!N:N,"")</f>
        <v/>
      </c>
      <c r="H135" s="11" t="s">
        <v>992</v>
      </c>
      <c r="I135" s="15" t="str">
        <f>_xlfn.XLOOKUP(A135,'KOS SR'!V:V,'KOS SR'!N:N,"")</f>
        <v/>
      </c>
      <c r="J135" s="11" t="s">
        <v>992</v>
      </c>
      <c r="K135" s="28" t="str">
        <f>_xlfn.IFNA(VLOOKUP($M135, XtEHR!A:F,2,FALSE)&amp;"."&amp;TRIM(VLOOKUP($M135, XtEHR!A:F,3,FALSE)),"-")</f>
        <v>EHDSServiceRequest.priority</v>
      </c>
      <c r="L135" s="11" t="s">
        <v>992</v>
      </c>
      <c r="M135" s="1" t="s">
        <v>667</v>
      </c>
      <c r="N135" s="28" t="str">
        <f>_xlfn.IFNA(VLOOKUP($M135, XtEHR!A:F,2,FALSE)&amp;"."&amp;TRIM(VLOOKUP($M135, XtEHR!A:F,3,FALSE)),"-")</f>
        <v>EHDSServiceRequest.priority</v>
      </c>
    </row>
    <row r="136" spans="1:14" x14ac:dyDescent="0.25">
      <c r="A136" t="s">
        <v>769</v>
      </c>
      <c r="B136" t="s">
        <v>648</v>
      </c>
      <c r="C136" s="15" t="s">
        <v>256</v>
      </c>
      <c r="D136" s="11" t="s">
        <v>992</v>
      </c>
      <c r="E136" s="15" t="str">
        <f t="shared" si="1"/>
        <v>ServiceRequest-Order.supportingInformation[x]</v>
      </c>
      <c r="F136" s="11" t="s">
        <v>992</v>
      </c>
      <c r="G136" s="15" t="str">
        <f>_xlfn.XLOOKUP(A136,KOS!Z:Z,KOS!N:N,"")</f>
        <v/>
      </c>
      <c r="H136" s="11" t="s">
        <v>992</v>
      </c>
      <c r="I136" s="15" t="str">
        <f>_xlfn.XLOOKUP(A136,'KOS SR'!V:V,'KOS SR'!N:N,"")</f>
        <v/>
      </c>
      <c r="J136" s="11" t="s">
        <v>992</v>
      </c>
      <c r="K136" s="28" t="str">
        <f>_xlfn.IFNA(VLOOKUP($M136, XtEHR!A:F,2,FALSE)&amp;"."&amp;TRIM(VLOOKUP($M136, XtEHR!A:F,3,FALSE)),"-")</f>
        <v>EHDSServiceRequest.supportingInformation[x]</v>
      </c>
      <c r="L136" s="11" t="s">
        <v>992</v>
      </c>
      <c r="M136" s="1" t="s">
        <v>668</v>
      </c>
      <c r="N136" s="28" t="str">
        <f>_xlfn.IFNA(VLOOKUP($M136, XtEHR!A:F,2,FALSE)&amp;"."&amp;TRIM(VLOOKUP($M136, XtEHR!A:F,3,FALSE)),"-")</f>
        <v>EHDSServiceRequest.supportingInformation[x]</v>
      </c>
    </row>
    <row r="137" spans="1:14" x14ac:dyDescent="0.25">
      <c r="A137" t="s">
        <v>770</v>
      </c>
      <c r="B137" t="s">
        <v>648</v>
      </c>
      <c r="C137" s="15" t="s">
        <v>256</v>
      </c>
      <c r="D137" s="11" t="s">
        <v>992</v>
      </c>
      <c r="E137" s="15" t="str">
        <f t="shared" si="1"/>
        <v>ServiceRequest-Order.supportingInformation[x]</v>
      </c>
      <c r="F137" s="11" t="s">
        <v>992</v>
      </c>
      <c r="G137" s="15" t="str">
        <f>_xlfn.XLOOKUP(A137,KOS!Z:Z,KOS!N:N,"")</f>
        <v/>
      </c>
      <c r="H137" s="11" t="s">
        <v>992</v>
      </c>
      <c r="I137" s="15" t="str">
        <f>_xlfn.XLOOKUP(A137,'KOS SR'!V:V,'KOS SR'!N:N,"")</f>
        <v/>
      </c>
      <c r="J137" s="11" t="s">
        <v>992</v>
      </c>
      <c r="K137" s="28" t="str">
        <f>_xlfn.IFNA(VLOOKUP($M137, XtEHR!A:F,2,FALSE)&amp;"."&amp;TRIM(VLOOKUP($M137, XtEHR!A:F,3,FALSE)),"-")</f>
        <v>EHDSServiceRequest.supportingInformation[x]</v>
      </c>
      <c r="L137" s="11" t="s">
        <v>992</v>
      </c>
      <c r="M137" s="1" t="s">
        <v>669</v>
      </c>
      <c r="N137" s="28" t="str">
        <f>_xlfn.IFNA(VLOOKUP($M137, XtEHR!A:F,2,FALSE)&amp;"."&amp;TRIM(VLOOKUP($M137, XtEHR!A:F,3,FALSE)),"-")</f>
        <v>EHDSServiceRequest.supportingInformation[x]</v>
      </c>
    </row>
    <row r="138" spans="1:14" x14ac:dyDescent="0.25">
      <c r="A138" t="s">
        <v>771</v>
      </c>
      <c r="B138" t="s">
        <v>648</v>
      </c>
      <c r="C138" s="15" t="s">
        <v>256</v>
      </c>
      <c r="D138" s="11" t="s">
        <v>992</v>
      </c>
      <c r="E138" s="15" t="str">
        <f t="shared" si="1"/>
        <v>ServiceRequest-Order.supportingInformation[x]</v>
      </c>
      <c r="F138" s="11" t="s">
        <v>992</v>
      </c>
      <c r="G138" s="15" t="str">
        <f>_xlfn.XLOOKUP(A138,KOS!Z:Z,KOS!N:N,"")</f>
        <v/>
      </c>
      <c r="H138" s="11" t="s">
        <v>992</v>
      </c>
      <c r="I138" s="15" t="str">
        <f>_xlfn.XLOOKUP(A138,'KOS SR'!V:V,'KOS SR'!N:N,"")</f>
        <v/>
      </c>
      <c r="J138" s="11" t="s">
        <v>992</v>
      </c>
      <c r="K138" s="28" t="str">
        <f>_xlfn.IFNA(VLOOKUP($M138, XtEHR!A:F,2,FALSE)&amp;"."&amp;TRIM(VLOOKUP($M138, XtEHR!A:F,3,FALSE)),"-")</f>
        <v>EHDSServiceRequest.supportingInformation[x]</v>
      </c>
      <c r="L138" s="11" t="s">
        <v>992</v>
      </c>
      <c r="M138" s="1" t="s">
        <v>670</v>
      </c>
      <c r="N138" s="28" t="str">
        <f>_xlfn.IFNA(VLOOKUP($M138, XtEHR!A:F,2,FALSE)&amp;"."&amp;TRIM(VLOOKUP($M138, XtEHR!A:F,3,FALSE)),"-")</f>
        <v>EHDSServiceRequest.supportingInformation[x]</v>
      </c>
    </row>
    <row r="139" spans="1:14" x14ac:dyDescent="0.25">
      <c r="A139" t="s">
        <v>772</v>
      </c>
      <c r="B139" t="s">
        <v>648</v>
      </c>
      <c r="C139" s="15" t="s">
        <v>256</v>
      </c>
      <c r="D139" s="11" t="s">
        <v>992</v>
      </c>
      <c r="E139" s="15" t="str">
        <f t="shared" si="1"/>
        <v>ServiceRequest-Order.supportingInformation[x]</v>
      </c>
      <c r="F139" s="11" t="s">
        <v>992</v>
      </c>
      <c r="G139" s="15" t="str">
        <f>_xlfn.XLOOKUP(A139,KOS!Z:Z,KOS!N:N,"")</f>
        <v/>
      </c>
      <c r="H139" s="11" t="s">
        <v>992</v>
      </c>
      <c r="I139" s="15" t="str">
        <f>_xlfn.XLOOKUP(A139,'KOS SR'!V:V,'KOS SR'!N:N,"")</f>
        <v/>
      </c>
      <c r="J139" s="11" t="s">
        <v>992</v>
      </c>
      <c r="K139" s="28" t="str">
        <f>_xlfn.IFNA(VLOOKUP($M139, XtEHR!A:F,2,FALSE)&amp;"."&amp;TRIM(VLOOKUP($M139, XtEHR!A:F,3,FALSE)),"-")</f>
        <v>EHDSServiceRequest.supportingInformation[x]</v>
      </c>
      <c r="L139" s="11" t="s">
        <v>992</v>
      </c>
      <c r="M139" s="1" t="s">
        <v>671</v>
      </c>
      <c r="N139" s="28" t="str">
        <f>_xlfn.IFNA(VLOOKUP($M139, XtEHR!A:F,2,FALSE)&amp;"."&amp;TRIM(VLOOKUP($M139, XtEHR!A:F,3,FALSE)),"-")</f>
        <v>EHDSServiceRequest.supportingInformation[x]</v>
      </c>
    </row>
    <row r="140" spans="1:14" x14ac:dyDescent="0.25">
      <c r="A140" t="s">
        <v>773</v>
      </c>
      <c r="B140" t="s">
        <v>648</v>
      </c>
      <c r="C140" s="15" t="s">
        <v>76</v>
      </c>
      <c r="D140" s="11" t="s">
        <v>992</v>
      </c>
      <c r="E140" s="15" t="str">
        <f t="shared" si="1"/>
        <v>ServiceRequest-Order.specimen</v>
      </c>
      <c r="F140" s="11" t="s">
        <v>992</v>
      </c>
      <c r="G140" s="15" t="str">
        <f>_xlfn.XLOOKUP(A140,KOS!Z:Z,KOS!N:N,"")</f>
        <v/>
      </c>
      <c r="H140" s="11" t="s">
        <v>992</v>
      </c>
      <c r="I140" s="15" t="str">
        <f>_xlfn.XLOOKUP(A140,'KOS SR'!V:V,'KOS SR'!N:N,"")</f>
        <v/>
      </c>
      <c r="J140" s="11" t="s">
        <v>992</v>
      </c>
      <c r="K140" s="28" t="str">
        <f>_xlfn.IFNA(VLOOKUP($M140, XtEHR!A:F,2,FALSE)&amp;"."&amp;TRIM(VLOOKUP($M140, XtEHR!A:F,3,FALSE)),"-")</f>
        <v>EHDSServiceRequest.specimen</v>
      </c>
      <c r="L140" s="11" t="s">
        <v>992</v>
      </c>
      <c r="M140" s="1" t="s">
        <v>672</v>
      </c>
      <c r="N140" s="28" t="str">
        <f>_xlfn.IFNA(VLOOKUP($M140, XtEHR!A:F,2,FALSE)&amp;"."&amp;TRIM(VLOOKUP($M140, XtEHR!A:F,3,FALSE)),"-")</f>
        <v>EHDSServiceRequest.specimen</v>
      </c>
    </row>
    <row r="141" spans="1:14" x14ac:dyDescent="0.25">
      <c r="A141" t="s">
        <v>774</v>
      </c>
      <c r="B141" t="s">
        <v>648</v>
      </c>
      <c r="C141" s="15" t="s">
        <v>69</v>
      </c>
      <c r="D141" s="11" t="s">
        <v>992</v>
      </c>
      <c r="E141" s="15" t="str">
        <f t="shared" si="1"/>
        <v>ServiceRequest-Order.encounter</v>
      </c>
      <c r="F141" s="11" t="s">
        <v>992</v>
      </c>
      <c r="G141" s="15" t="str">
        <f>_xlfn.XLOOKUP(A141,KOS!Z:Z,KOS!N:N,"")</f>
        <v/>
      </c>
      <c r="H141" s="11" t="s">
        <v>992</v>
      </c>
      <c r="I141" s="15" t="str">
        <f>_xlfn.XLOOKUP(A141,'KOS SR'!V:V,'KOS SR'!N:N,"")</f>
        <v/>
      </c>
      <c r="J141" s="11" t="s">
        <v>992</v>
      </c>
      <c r="K141" s="28" t="str">
        <f>_xlfn.IFNA(VLOOKUP($M141, XtEHR!A:F,2,FALSE)&amp;"."&amp;TRIM(VLOOKUP($M141, XtEHR!A:F,3,FALSE)),"-")</f>
        <v>EHDSServiceRequest.encounter</v>
      </c>
      <c r="L141" s="11" t="s">
        <v>992</v>
      </c>
      <c r="M141" s="1" t="s">
        <v>673</v>
      </c>
      <c r="N141" s="28" t="str">
        <f>_xlfn.IFNA(VLOOKUP($M141, XtEHR!A:F,2,FALSE)&amp;"."&amp;TRIM(VLOOKUP($M141, XtEHR!A:F,3,FALSE)),"-")</f>
        <v>EHDSServiceRequest.encounter</v>
      </c>
    </row>
    <row r="142" spans="1:14" x14ac:dyDescent="0.25">
      <c r="A142" t="s">
        <v>775</v>
      </c>
      <c r="B142" t="s">
        <v>648</v>
      </c>
      <c r="C142" s="15" t="s">
        <v>257</v>
      </c>
      <c r="D142" s="11" t="s">
        <v>992</v>
      </c>
      <c r="E142" s="15" t="str">
        <f t="shared" si="1"/>
        <v>ServiceRequest-Order.occurrence[x]</v>
      </c>
      <c r="F142" s="11" t="s">
        <v>992</v>
      </c>
      <c r="G142" s="15" t="str">
        <f>_xlfn.XLOOKUP(A142,KOS!Z:Z,KOS!N:N,"")</f>
        <v/>
      </c>
      <c r="H142" s="11" t="s">
        <v>992</v>
      </c>
      <c r="I142" s="15" t="str">
        <f>_xlfn.XLOOKUP(A142,'KOS SR'!V:V,'KOS SR'!N:N,"")</f>
        <v/>
      </c>
      <c r="J142" s="11" t="s">
        <v>992</v>
      </c>
      <c r="K142" s="28" t="str">
        <f>_xlfn.IFNA(VLOOKUP($M142, XtEHR!A:F,2,FALSE)&amp;"."&amp;TRIM(VLOOKUP($M142, XtEHR!A:F,3,FALSE)),"-")</f>
        <v>EHDSServiceRequest.occurrence[x]</v>
      </c>
      <c r="L142" s="11" t="s">
        <v>992</v>
      </c>
      <c r="M142" s="1" t="s">
        <v>674</v>
      </c>
      <c r="N142" s="28" t="str">
        <f>_xlfn.IFNA(VLOOKUP($M142, XtEHR!A:F,2,FALSE)&amp;"."&amp;TRIM(VLOOKUP($M142, XtEHR!A:F,3,FALSE)),"-")</f>
        <v>EHDSServiceRequest.occurrence[x]</v>
      </c>
    </row>
    <row r="143" spans="1:14" x14ac:dyDescent="0.25">
      <c r="A143" t="s">
        <v>776</v>
      </c>
      <c r="B143" t="s">
        <v>648</v>
      </c>
      <c r="C143" s="15" t="s">
        <v>257</v>
      </c>
      <c r="D143" s="11" t="s">
        <v>992</v>
      </c>
      <c r="E143" s="15" t="str">
        <f t="shared" ref="E143:E186" si="2">IF(LEN(C143)&gt;0,B143&amp;"."&amp;C143,"")</f>
        <v>ServiceRequest-Order.occurrence[x]</v>
      </c>
      <c r="F143" s="11" t="s">
        <v>992</v>
      </c>
      <c r="G143" s="15" t="str">
        <f>_xlfn.XLOOKUP(A143,KOS!Z:Z,KOS!N:N,"")</f>
        <v/>
      </c>
      <c r="H143" s="11" t="s">
        <v>992</v>
      </c>
      <c r="I143" s="15" t="str">
        <f>_xlfn.XLOOKUP(A143,'KOS SR'!V:V,'KOS SR'!N:N,"")</f>
        <v/>
      </c>
      <c r="J143" s="11" t="s">
        <v>992</v>
      </c>
      <c r="K143" s="28" t="str">
        <f>_xlfn.IFNA(VLOOKUP($M143, XtEHR!A:F,2,FALSE)&amp;"."&amp;TRIM(VLOOKUP($M143, XtEHR!A:F,3,FALSE)),"-")</f>
        <v>EHDSServiceRequest.occurrence[x]</v>
      </c>
      <c r="L143" s="11" t="s">
        <v>992</v>
      </c>
      <c r="M143" s="1" t="s">
        <v>675</v>
      </c>
      <c r="N143" s="28" t="str">
        <f>_xlfn.IFNA(VLOOKUP($M143, XtEHR!A:F,2,FALSE)&amp;"."&amp;TRIM(VLOOKUP($M143, XtEHR!A:F,3,FALSE)),"-")</f>
        <v>EHDSServiceRequest.occurrence[x]</v>
      </c>
    </row>
    <row r="144" spans="1:14" x14ac:dyDescent="0.25">
      <c r="A144" t="s">
        <v>777</v>
      </c>
      <c r="B144" t="s">
        <v>648</v>
      </c>
      <c r="C144" s="15" t="s">
        <v>258</v>
      </c>
      <c r="D144" s="11" t="s">
        <v>992</v>
      </c>
      <c r="E144" s="15" t="str">
        <f t="shared" si="2"/>
        <v>ServiceRequest-Order.patientInstructions</v>
      </c>
      <c r="F144" s="11" t="s">
        <v>992</v>
      </c>
      <c r="G144" s="15" t="str">
        <f>_xlfn.XLOOKUP(A144,KOS!Z:Z,KOS!N:N,"")</f>
        <v/>
      </c>
      <c r="H144" s="11" t="s">
        <v>992</v>
      </c>
      <c r="I144" s="15" t="str">
        <f>_xlfn.XLOOKUP(A144,'KOS SR'!V:V,'KOS SR'!N:N,"")</f>
        <v/>
      </c>
      <c r="J144" s="11" t="s">
        <v>992</v>
      </c>
      <c r="K144" s="28" t="str">
        <f>_xlfn.IFNA(VLOOKUP($M144, XtEHR!A:F,2,FALSE)&amp;"."&amp;TRIM(VLOOKUP($M144, XtEHR!A:F,3,FALSE)),"-")</f>
        <v>EHDSServiceRequest.patientInstructions</v>
      </c>
      <c r="L144" s="11" t="s">
        <v>992</v>
      </c>
      <c r="M144" s="1" t="s">
        <v>676</v>
      </c>
      <c r="N144" s="28" t="str">
        <f>_xlfn.IFNA(VLOOKUP($M144, XtEHR!A:F,2,FALSE)&amp;"."&amp;TRIM(VLOOKUP($M144, XtEHR!A:F,3,FALSE)),"-")</f>
        <v>EHDSServiceRequest.patientInstructions</v>
      </c>
    </row>
    <row r="145" spans="1:14" x14ac:dyDescent="0.25">
      <c r="D145" s="11"/>
      <c r="E145" s="15" t="str">
        <f t="shared" si="2"/>
        <v/>
      </c>
      <c r="F145" s="11"/>
      <c r="H145" s="11"/>
      <c r="J145" s="11"/>
      <c r="K145" s="28"/>
      <c r="L145" s="11"/>
      <c r="M145" s="1"/>
      <c r="N145" s="28" t="str">
        <f>_xlfn.IFNA(VLOOKUP($M145, XtEHR!A:F,2,FALSE)&amp;"."&amp;TRIM(VLOOKUP($M145, XtEHR!A:F,3,FALSE)),"-")</f>
        <v>-</v>
      </c>
    </row>
    <row r="146" spans="1:14" ht="18" thickBot="1" x14ac:dyDescent="0.35">
      <c r="D146" s="11" t="s">
        <v>992</v>
      </c>
      <c r="E146" s="29" t="s">
        <v>285</v>
      </c>
      <c r="F146" s="11" t="s">
        <v>992</v>
      </c>
      <c r="G146" s="29" t="s">
        <v>279</v>
      </c>
      <c r="H146" s="11" t="s">
        <v>992</v>
      </c>
      <c r="I146" s="29" t="s">
        <v>996</v>
      </c>
      <c r="J146" s="11" t="s">
        <v>992</v>
      </c>
      <c r="K146" s="29" t="s">
        <v>578</v>
      </c>
      <c r="L146" s="11" t="s">
        <v>992</v>
      </c>
      <c r="M146" s="3"/>
      <c r="N146" s="28"/>
    </row>
    <row r="147" spans="1:14" ht="18.75" thickTop="1" thickBot="1" x14ac:dyDescent="0.35">
      <c r="D147" s="11" t="s">
        <v>992</v>
      </c>
      <c r="E147" s="36" t="s">
        <v>994</v>
      </c>
      <c r="F147" s="11" t="s">
        <v>992</v>
      </c>
      <c r="G147" s="36" t="s">
        <v>994</v>
      </c>
      <c r="H147" s="11" t="s">
        <v>992</v>
      </c>
      <c r="I147" s="36" t="s">
        <v>994</v>
      </c>
      <c r="J147" s="11" t="s">
        <v>992</v>
      </c>
      <c r="K147" s="36" t="s">
        <v>994</v>
      </c>
      <c r="L147" s="11" t="s">
        <v>992</v>
      </c>
      <c r="M147" s="3"/>
      <c r="N147" s="28"/>
    </row>
    <row r="148" spans="1:14" ht="15.75" thickTop="1" x14ac:dyDescent="0.25">
      <c r="A148" t="s">
        <v>778</v>
      </c>
      <c r="B148" t="s">
        <v>678</v>
      </c>
      <c r="C148" s="30" t="s">
        <v>47</v>
      </c>
      <c r="D148" s="11" t="s">
        <v>992</v>
      </c>
      <c r="E148" s="15" t="str">
        <f t="shared" si="2"/>
        <v>Endpoint-XcWADO.identifier</v>
      </c>
      <c r="F148" s="11" t="s">
        <v>992</v>
      </c>
      <c r="G148" s="15" t="str">
        <f>_xlfn.XLOOKUP(A148,KOS!Z:Z,KOS!N:N,"")</f>
        <v/>
      </c>
      <c r="H148" s="11" t="s">
        <v>992</v>
      </c>
      <c r="I148" s="15" t="str">
        <f>_xlfn.XLOOKUP(A148,'KOS SR'!V:V,'KOS SR'!N:N,"")</f>
        <v/>
      </c>
      <c r="J148" s="11" t="s">
        <v>992</v>
      </c>
      <c r="K148" s="28" t="str">
        <f>_xlfn.IFNA(VLOOKUP($M148, XtEHR!A:F,2,FALSE)&amp;"."&amp;TRIM(VLOOKUP($M148, XtEHR!A:F,3,FALSE)),"-")</f>
        <v>EHDSEndpoint.identifier</v>
      </c>
      <c r="L148" s="11" t="s">
        <v>992</v>
      </c>
      <c r="M148" s="3" t="s">
        <v>680</v>
      </c>
      <c r="N148" s="28" t="str">
        <f>_xlfn.IFNA(VLOOKUP($M148, XtEHR!A:F,2,FALSE)&amp;"."&amp;TRIM(VLOOKUP($M148, XtEHR!A:F,3,FALSE)),"-")</f>
        <v>EHDSEndpoint.identifier</v>
      </c>
    </row>
    <row r="149" spans="1:14" x14ac:dyDescent="0.25">
      <c r="A149" t="s">
        <v>779</v>
      </c>
      <c r="B149" t="s">
        <v>678</v>
      </c>
      <c r="C149" s="31" t="s">
        <v>65</v>
      </c>
      <c r="D149" s="11" t="s">
        <v>992</v>
      </c>
      <c r="E149" s="15" t="str">
        <f t="shared" si="2"/>
        <v>Endpoint-XcWADO.status</v>
      </c>
      <c r="F149" s="11" t="s">
        <v>992</v>
      </c>
      <c r="G149" s="15" t="str">
        <f>_xlfn.XLOOKUP(A149,KOS!Z:Z,KOS!N:N,"")</f>
        <v/>
      </c>
      <c r="H149" s="11" t="s">
        <v>992</v>
      </c>
      <c r="I149" s="15" t="str">
        <f>_xlfn.XLOOKUP(A149,'KOS SR'!V:V,'KOS SR'!N:N,"")</f>
        <v/>
      </c>
      <c r="J149" s="11" t="s">
        <v>992</v>
      </c>
      <c r="K149" s="28" t="str">
        <f>_xlfn.IFNA(VLOOKUP($M149, XtEHR!A:F,2,FALSE)&amp;"."&amp;TRIM(VLOOKUP($M149, XtEHR!A:F,3,FALSE)),"-")</f>
        <v>EHDSEndpoint.status</v>
      </c>
      <c r="L149" s="11" t="s">
        <v>992</v>
      </c>
      <c r="M149" s="3" t="s">
        <v>681</v>
      </c>
      <c r="N149" s="28" t="str">
        <f>_xlfn.IFNA(VLOOKUP($M149, XtEHR!A:F,2,FALSE)&amp;"."&amp;TRIM(VLOOKUP($M149, XtEHR!A:F,3,FALSE)),"-")</f>
        <v>EHDSEndpoint.status</v>
      </c>
    </row>
    <row r="150" spans="1:14" x14ac:dyDescent="0.25">
      <c r="A150" t="s">
        <v>780</v>
      </c>
      <c r="B150" t="s">
        <v>678</v>
      </c>
      <c r="C150" s="30" t="s">
        <v>691</v>
      </c>
      <c r="D150" s="11" t="s">
        <v>992</v>
      </c>
      <c r="E150" s="15" t="str">
        <f t="shared" si="2"/>
        <v>Endpoint-XcWADO.connectionType</v>
      </c>
      <c r="F150" s="11" t="s">
        <v>992</v>
      </c>
      <c r="G150" s="15" t="str">
        <f>_xlfn.XLOOKUP(A150,KOS!Z:Z,KOS!N:N,"")</f>
        <v/>
      </c>
      <c r="H150" s="11" t="s">
        <v>992</v>
      </c>
      <c r="I150" s="15" t="str">
        <f>_xlfn.XLOOKUP(A150,'KOS SR'!V:V,'KOS SR'!N:N,"")</f>
        <v/>
      </c>
      <c r="J150" s="11" t="s">
        <v>992</v>
      </c>
      <c r="K150" s="28" t="str">
        <f>_xlfn.IFNA(VLOOKUP($M150, XtEHR!A:F,2,FALSE)&amp;"."&amp;TRIM(VLOOKUP($M150, XtEHR!A:F,3,FALSE)),"-")</f>
        <v>EHDSEndpoint.connectionType</v>
      </c>
      <c r="L150" s="11" t="s">
        <v>992</v>
      </c>
      <c r="M150" s="3" t="s">
        <v>682</v>
      </c>
      <c r="N150" s="28" t="str">
        <f>_xlfn.IFNA(VLOOKUP($M150, XtEHR!A:F,2,FALSE)&amp;"."&amp;TRIM(VLOOKUP($M150, XtEHR!A:F,3,FALSE)),"-")</f>
        <v>EHDSEndpoint.connectionType</v>
      </c>
    </row>
    <row r="151" spans="1:14" x14ac:dyDescent="0.25">
      <c r="A151" t="s">
        <v>781</v>
      </c>
      <c r="B151" t="s">
        <v>678</v>
      </c>
      <c r="C151" s="31" t="s">
        <v>114</v>
      </c>
      <c r="D151" s="11" t="s">
        <v>992</v>
      </c>
      <c r="E151" s="15" t="str">
        <f t="shared" si="2"/>
        <v>Endpoint-XcWADO.name</v>
      </c>
      <c r="F151" s="11" t="s">
        <v>992</v>
      </c>
      <c r="G151" s="15" t="str">
        <f>_xlfn.XLOOKUP(A151,KOS!Z:Z,KOS!N:N,"")</f>
        <v/>
      </c>
      <c r="H151" s="11" t="s">
        <v>992</v>
      </c>
      <c r="I151" s="15" t="str">
        <f>_xlfn.XLOOKUP(A151,'KOS SR'!V:V,'KOS SR'!N:N,"")</f>
        <v/>
      </c>
      <c r="J151" s="11" t="s">
        <v>992</v>
      </c>
      <c r="K151" s="28" t="str">
        <f>_xlfn.IFNA(VLOOKUP($M151, XtEHR!A:F,2,FALSE)&amp;"."&amp;TRIM(VLOOKUP($M151, XtEHR!A:F,3,FALSE)),"-")</f>
        <v>EHDSEndpoint.name</v>
      </c>
      <c r="L151" s="11" t="s">
        <v>992</v>
      </c>
      <c r="M151" s="3" t="s">
        <v>683</v>
      </c>
      <c r="N151" s="28" t="str">
        <f>_xlfn.IFNA(VLOOKUP($M151, XtEHR!A:F,2,FALSE)&amp;"."&amp;TRIM(VLOOKUP($M151, XtEHR!A:F,3,FALSE)),"-")</f>
        <v>EHDSEndpoint.name</v>
      </c>
    </row>
    <row r="152" spans="1:14" x14ac:dyDescent="0.25">
      <c r="A152" t="s">
        <v>782</v>
      </c>
      <c r="B152" t="s">
        <v>678</v>
      </c>
      <c r="C152" s="30" t="s">
        <v>692</v>
      </c>
      <c r="D152" s="11" t="s">
        <v>992</v>
      </c>
      <c r="E152" s="15" t="str">
        <f t="shared" si="2"/>
        <v>Endpoint-XcWADO.managingOrganisation</v>
      </c>
      <c r="F152" s="11" t="s">
        <v>992</v>
      </c>
      <c r="G152" s="15" t="str">
        <f>_xlfn.XLOOKUP(A152,KOS!Z:Z,KOS!N:N,"")</f>
        <v/>
      </c>
      <c r="H152" s="11" t="s">
        <v>992</v>
      </c>
      <c r="I152" s="15" t="str">
        <f>_xlfn.XLOOKUP(A152,'KOS SR'!V:V,'KOS SR'!N:N,"")</f>
        <v/>
      </c>
      <c r="J152" s="11" t="s">
        <v>992</v>
      </c>
      <c r="K152" s="28" t="str">
        <f>_xlfn.IFNA(VLOOKUP($M152, XtEHR!A:F,2,FALSE)&amp;"."&amp;TRIM(VLOOKUP($M152, XtEHR!A:F,3,FALSE)),"-")</f>
        <v>EHDSEndpoint.managingOrganisation</v>
      </c>
      <c r="L152" s="11" t="s">
        <v>992</v>
      </c>
      <c r="M152" s="3" t="s">
        <v>684</v>
      </c>
      <c r="N152" s="28" t="str">
        <f>_xlfn.IFNA(VLOOKUP($M152, XtEHR!A:F,2,FALSE)&amp;"."&amp;TRIM(VLOOKUP($M152, XtEHR!A:F,3,FALSE)),"-")</f>
        <v>EHDSEndpoint.managingOrganisation</v>
      </c>
    </row>
    <row r="153" spans="1:14" x14ac:dyDescent="0.25">
      <c r="A153" t="s">
        <v>783</v>
      </c>
      <c r="B153" t="s">
        <v>678</v>
      </c>
      <c r="C153" s="31" t="s">
        <v>693</v>
      </c>
      <c r="D153" s="11" t="s">
        <v>992</v>
      </c>
      <c r="E153" s="15" t="str">
        <f t="shared" si="2"/>
        <v>Endpoint-XcWADO.payload</v>
      </c>
      <c r="F153" s="11" t="s">
        <v>992</v>
      </c>
      <c r="G153" s="15" t="str">
        <f>_xlfn.XLOOKUP(A153,KOS!Z:Z,KOS!N:N,"")</f>
        <v/>
      </c>
      <c r="H153" s="11" t="s">
        <v>992</v>
      </c>
      <c r="I153" s="15" t="str">
        <f>_xlfn.XLOOKUP(A153,'KOS SR'!V:V,'KOS SR'!N:N,"")</f>
        <v/>
      </c>
      <c r="J153" s="11" t="s">
        <v>992</v>
      </c>
      <c r="K153" s="28" t="str">
        <f>_xlfn.IFNA(VLOOKUP($M153, XtEHR!A:F,2,FALSE)&amp;"."&amp;TRIM(VLOOKUP($M153, XtEHR!A:F,3,FALSE)),"-")</f>
        <v>EHDSEndpoint.payload</v>
      </c>
      <c r="L153" s="11" t="s">
        <v>992</v>
      </c>
      <c r="M153" s="3" t="s">
        <v>685</v>
      </c>
      <c r="N153" s="28" t="str">
        <f>_xlfn.IFNA(VLOOKUP($M153, XtEHR!A:F,2,FALSE)&amp;"."&amp;TRIM(VLOOKUP($M153, XtEHR!A:F,3,FALSE)),"-")</f>
        <v>EHDSEndpoint.payload</v>
      </c>
    </row>
    <row r="154" spans="1:14" x14ac:dyDescent="0.25">
      <c r="A154" t="s">
        <v>784</v>
      </c>
      <c r="B154" t="s">
        <v>678</v>
      </c>
      <c r="C154" s="30" t="s">
        <v>694</v>
      </c>
      <c r="D154" s="11" t="s">
        <v>992</v>
      </c>
      <c r="E154" s="15" t="str">
        <f t="shared" si="2"/>
        <v>Endpoint-XcWADO.payload.type</v>
      </c>
      <c r="F154" s="11" t="s">
        <v>992</v>
      </c>
      <c r="G154" s="15" t="str">
        <f>_xlfn.XLOOKUP(A154,KOS!Z:Z,KOS!N:N,"")</f>
        <v/>
      </c>
      <c r="H154" s="11" t="s">
        <v>992</v>
      </c>
      <c r="I154" s="15" t="str">
        <f>_xlfn.XLOOKUP(A154,'KOS SR'!V:V,'KOS SR'!N:N,"")</f>
        <v/>
      </c>
      <c r="J154" s="11" t="s">
        <v>992</v>
      </c>
      <c r="K154" s="28" t="str">
        <f>_xlfn.IFNA(VLOOKUP($M154, XtEHR!A:F,2,FALSE)&amp;"."&amp;TRIM(VLOOKUP($M154, XtEHR!A:F,3,FALSE)),"-")</f>
        <v>EHDSEndpoint.payload.type</v>
      </c>
      <c r="L154" s="11" t="s">
        <v>992</v>
      </c>
      <c r="M154" s="3" t="s">
        <v>686</v>
      </c>
      <c r="N154" s="28" t="str">
        <f>_xlfn.IFNA(VLOOKUP($M154, XtEHR!A:F,2,FALSE)&amp;"."&amp;TRIM(VLOOKUP($M154, XtEHR!A:F,3,FALSE)),"-")</f>
        <v>EHDSEndpoint.payload.type</v>
      </c>
    </row>
    <row r="155" spans="1:14" x14ac:dyDescent="0.25">
      <c r="A155" t="s">
        <v>785</v>
      </c>
      <c r="B155" t="s">
        <v>678</v>
      </c>
      <c r="C155" s="31" t="s">
        <v>695</v>
      </c>
      <c r="D155" s="11" t="s">
        <v>992</v>
      </c>
      <c r="E155" s="15" t="str">
        <f t="shared" si="2"/>
        <v>Endpoint-XcWADO.payload.mimeType</v>
      </c>
      <c r="F155" s="11" t="s">
        <v>992</v>
      </c>
      <c r="G155" s="15" t="str">
        <f>_xlfn.XLOOKUP(A155,KOS!Z:Z,KOS!N:N,"")</f>
        <v/>
      </c>
      <c r="H155" s="11" t="s">
        <v>992</v>
      </c>
      <c r="I155" s="15" t="str">
        <f>_xlfn.XLOOKUP(A155,'KOS SR'!V:V,'KOS SR'!N:N,"")</f>
        <v/>
      </c>
      <c r="J155" s="11" t="s">
        <v>992</v>
      </c>
      <c r="K155" s="28" t="str">
        <f>_xlfn.IFNA(VLOOKUP($M155, XtEHR!A:F,2,FALSE)&amp;"."&amp;TRIM(VLOOKUP($M155, XtEHR!A:F,3,FALSE)),"-")</f>
        <v>EHDSEndpoint.payload.mimeType</v>
      </c>
      <c r="L155" s="11" t="s">
        <v>992</v>
      </c>
      <c r="M155" s="3" t="s">
        <v>687</v>
      </c>
      <c r="N155" s="28" t="str">
        <f>_xlfn.IFNA(VLOOKUP($M155, XtEHR!A:F,2,FALSE)&amp;"."&amp;TRIM(VLOOKUP($M155, XtEHR!A:F,3,FALSE)),"-")</f>
        <v>EHDSEndpoint.payload.mimeType</v>
      </c>
    </row>
    <row r="156" spans="1:14" x14ac:dyDescent="0.25">
      <c r="A156" t="s">
        <v>786</v>
      </c>
      <c r="B156" t="s">
        <v>678</v>
      </c>
      <c r="C156" s="30" t="s">
        <v>696</v>
      </c>
      <c r="D156" s="11" t="s">
        <v>992</v>
      </c>
      <c r="E156" s="15" t="str">
        <f t="shared" si="2"/>
        <v>Endpoint-XcWADO.payload.profileCanonical</v>
      </c>
      <c r="F156" s="11" t="s">
        <v>992</v>
      </c>
      <c r="G156" s="15" t="str">
        <f>_xlfn.XLOOKUP(A156,KOS!Z:Z,KOS!N:N,"")</f>
        <v/>
      </c>
      <c r="H156" s="11" t="s">
        <v>992</v>
      </c>
      <c r="I156" s="15" t="str">
        <f>_xlfn.XLOOKUP(A156,'KOS SR'!V:V,'KOS SR'!N:N,"")</f>
        <v/>
      </c>
      <c r="J156" s="11" t="s">
        <v>992</v>
      </c>
      <c r="K156" s="28" t="str">
        <f>_xlfn.IFNA(VLOOKUP($M156, XtEHR!A:F,2,FALSE)&amp;"."&amp;TRIM(VLOOKUP($M156, XtEHR!A:F,3,FALSE)),"-")</f>
        <v>EHDSEndpoint.payload.profileCanonical</v>
      </c>
      <c r="L156" s="11" t="s">
        <v>992</v>
      </c>
      <c r="M156" s="3" t="s">
        <v>698</v>
      </c>
      <c r="N156" s="28" t="str">
        <f>_xlfn.IFNA(VLOOKUP($M156, XtEHR!A:F,2,FALSE)&amp;"."&amp;TRIM(VLOOKUP($M156, XtEHR!A:F,3,FALSE)),"-")</f>
        <v>EHDSEndpoint.payload.profileCanonical</v>
      </c>
    </row>
    <row r="157" spans="1:14" x14ac:dyDescent="0.25">
      <c r="A157" t="s">
        <v>787</v>
      </c>
      <c r="B157" t="s">
        <v>678</v>
      </c>
      <c r="C157" s="31" t="s">
        <v>697</v>
      </c>
      <c r="D157" s="11" t="s">
        <v>992</v>
      </c>
      <c r="E157" s="15" t="str">
        <f t="shared" si="2"/>
        <v>Endpoint-XcWADO.payload.profileUri</v>
      </c>
      <c r="F157" s="11" t="s">
        <v>992</v>
      </c>
      <c r="G157" s="15" t="str">
        <f>_xlfn.XLOOKUP(A157,KOS!Z:Z,KOS!N:N,"")</f>
        <v/>
      </c>
      <c r="H157" s="11" t="s">
        <v>992</v>
      </c>
      <c r="I157" s="15" t="str">
        <f>_xlfn.XLOOKUP(A157,'KOS SR'!V:V,'KOS SR'!N:N,"")</f>
        <v/>
      </c>
      <c r="J157" s="11" t="s">
        <v>992</v>
      </c>
      <c r="K157" s="28" t="str">
        <f>_xlfn.IFNA(VLOOKUP($M157, XtEHR!A:F,2,FALSE)&amp;"."&amp;TRIM(VLOOKUP($M157, XtEHR!A:F,3,FALSE)),"-")</f>
        <v>EHDSEndpoint.payload.profileUri</v>
      </c>
      <c r="L157" s="11" t="s">
        <v>992</v>
      </c>
      <c r="M157" s="3" t="s">
        <v>688</v>
      </c>
      <c r="N157" s="28" t="str">
        <f>_xlfn.IFNA(VLOOKUP($M157, XtEHR!A:F,2,FALSE)&amp;"."&amp;TRIM(VLOOKUP($M157, XtEHR!A:F,3,FALSE)),"-")</f>
        <v>EHDSEndpoint.payload.profileUri</v>
      </c>
    </row>
    <row r="158" spans="1:14" ht="75" x14ac:dyDescent="0.25">
      <c r="A158" t="s">
        <v>927</v>
      </c>
      <c r="B158" t="s">
        <v>678</v>
      </c>
      <c r="C158" s="31" t="s">
        <v>928</v>
      </c>
      <c r="D158" s="11" t="s">
        <v>992</v>
      </c>
      <c r="E158" s="15" t="str">
        <f t="shared" si="2"/>
        <v>Endpoint-XcWADO.extension[locationUid]</v>
      </c>
      <c r="F158" s="11" t="s">
        <v>992</v>
      </c>
      <c r="G158" s="15" t="str">
        <f>_xlfn.XLOOKUP(A158,KOS!Z:Z,KOS!N:N,"")</f>
        <v>Key Object Document-Current Requested Procedure Evidence Sequence-Retrieve Location UID</v>
      </c>
      <c r="H158" s="11" t="s">
        <v>992</v>
      </c>
      <c r="I158" s="15" t="str">
        <f>_xlfn.XLOOKUP(A158,'KOS SR'!V:V,'KOS SR'!N:N,"")</f>
        <v/>
      </c>
      <c r="J158" s="11" t="s">
        <v>992</v>
      </c>
      <c r="K158" s="28" t="str">
        <f>_xlfn.IFNA(VLOOKUP($M158, XtEHR!A:F,2,FALSE)&amp;"."&amp;TRIM(VLOOKUP($M158, XtEHR!A:F,3,FALSE)),"-")</f>
        <v>-</v>
      </c>
      <c r="L158" s="11" t="s">
        <v>992</v>
      </c>
      <c r="M158" s="3"/>
      <c r="N158" s="28"/>
    </row>
    <row r="159" spans="1:14" ht="60" x14ac:dyDescent="0.25">
      <c r="A159" t="s">
        <v>788</v>
      </c>
      <c r="B159" t="s">
        <v>678</v>
      </c>
      <c r="C159" s="30" t="s">
        <v>115</v>
      </c>
      <c r="D159" s="11" t="s">
        <v>992</v>
      </c>
      <c r="E159" s="15" t="str">
        <f t="shared" si="2"/>
        <v>Endpoint-XcWADO.address</v>
      </c>
      <c r="F159" s="11" t="s">
        <v>992</v>
      </c>
      <c r="G159" s="15" t="str">
        <f>_xlfn.XLOOKUP(A159,KOS!Z:Z,KOS!N:N,"")</f>
        <v>Key Object Document-Current Requested Procedure Evidence Sequence-Retrieve URL</v>
      </c>
      <c r="H159" s="11" t="s">
        <v>992</v>
      </c>
      <c r="I159" s="15" t="str">
        <f>_xlfn.XLOOKUP(A159,'KOS SR'!V:V,'KOS SR'!N:N,"")</f>
        <v/>
      </c>
      <c r="J159" s="11" t="s">
        <v>992</v>
      </c>
      <c r="K159" s="28" t="str">
        <f>_xlfn.IFNA(VLOOKUP($M159, XtEHR!A:F,2,FALSE)&amp;"."&amp;TRIM(VLOOKUP($M159, XtEHR!A:F,3,FALSE)),"-")</f>
        <v>EHDSEndpoint.address</v>
      </c>
      <c r="L159" s="11" t="s">
        <v>992</v>
      </c>
      <c r="M159" s="3" t="s">
        <v>689</v>
      </c>
      <c r="N159" s="28" t="str">
        <f>_xlfn.IFNA(VLOOKUP($M159, XtEHR!A:F,2,FALSE)&amp;"."&amp;TRIM(VLOOKUP($M159, XtEHR!A:F,3,FALSE)),"-")</f>
        <v>EHDSEndpoint.address</v>
      </c>
    </row>
    <row r="160" spans="1:14" x14ac:dyDescent="0.25">
      <c r="A160" t="s">
        <v>789</v>
      </c>
      <c r="B160" t="s">
        <v>678</v>
      </c>
      <c r="C160" s="31" t="s">
        <v>589</v>
      </c>
      <c r="D160" s="11" t="s">
        <v>992</v>
      </c>
      <c r="E160" s="15" t="str">
        <f t="shared" si="2"/>
        <v>Endpoint-XcWADO.header</v>
      </c>
      <c r="F160" s="11" t="s">
        <v>992</v>
      </c>
      <c r="G160" s="15" t="str">
        <f>_xlfn.XLOOKUP(A160,KOS!Z:Z,KOS!N:N,"")</f>
        <v/>
      </c>
      <c r="H160" s="11" t="s">
        <v>992</v>
      </c>
      <c r="I160" s="15" t="str">
        <f>_xlfn.XLOOKUP(A160,'KOS SR'!V:V,'KOS SR'!N:N,"")</f>
        <v/>
      </c>
      <c r="J160" s="11" t="s">
        <v>992</v>
      </c>
      <c r="K160" s="28" t="str">
        <f>_xlfn.IFNA(VLOOKUP($M160, XtEHR!A:F,2,FALSE)&amp;"."&amp;TRIM(VLOOKUP($M160, XtEHR!A:F,3,FALSE)),"-")</f>
        <v>EHDSEndpoint.header</v>
      </c>
      <c r="L160" s="11" t="s">
        <v>992</v>
      </c>
      <c r="M160" s="3" t="s">
        <v>690</v>
      </c>
      <c r="N160" s="28" t="str">
        <f>_xlfn.IFNA(VLOOKUP($M160, XtEHR!A:F,2,FALSE)&amp;"."&amp;TRIM(VLOOKUP($M160, XtEHR!A:F,3,FALSE)),"-")</f>
        <v>EHDSEndpoint.header</v>
      </c>
    </row>
    <row r="161" spans="1:14" x14ac:dyDescent="0.25">
      <c r="C161" s="37"/>
      <c r="D161" s="11"/>
      <c r="F161" s="11"/>
      <c r="H161" s="11"/>
      <c r="J161" s="11"/>
      <c r="K161" s="28"/>
      <c r="L161" s="11"/>
      <c r="M161" s="3"/>
      <c r="N161" s="28"/>
    </row>
    <row r="162" spans="1:14" ht="18" thickBot="1" x14ac:dyDescent="0.35">
      <c r="C162" s="37"/>
      <c r="D162" s="11" t="s">
        <v>992</v>
      </c>
      <c r="E162" s="29" t="s">
        <v>285</v>
      </c>
      <c r="F162" s="11" t="s">
        <v>992</v>
      </c>
      <c r="G162" s="29" t="s">
        <v>279</v>
      </c>
      <c r="H162" s="11" t="s">
        <v>992</v>
      </c>
      <c r="I162" s="29" t="s">
        <v>996</v>
      </c>
      <c r="J162" s="11" t="s">
        <v>992</v>
      </c>
      <c r="K162" s="29" t="s">
        <v>578</v>
      </c>
      <c r="L162" s="11" t="s">
        <v>992</v>
      </c>
      <c r="M162" s="3"/>
      <c r="N162" s="28"/>
    </row>
    <row r="163" spans="1:14" ht="18.75" thickTop="1" thickBot="1" x14ac:dyDescent="0.35">
      <c r="D163" s="11" t="s">
        <v>992</v>
      </c>
      <c r="E163" s="36" t="s">
        <v>994</v>
      </c>
      <c r="F163" s="11" t="s">
        <v>992</v>
      </c>
      <c r="G163" s="36" t="s">
        <v>994</v>
      </c>
      <c r="H163" s="11" t="s">
        <v>992</v>
      </c>
      <c r="I163" s="36" t="s">
        <v>994</v>
      </c>
      <c r="J163" s="11" t="s">
        <v>992</v>
      </c>
      <c r="K163" s="36" t="s">
        <v>994</v>
      </c>
      <c r="L163" s="11" t="s">
        <v>992</v>
      </c>
      <c r="N163" s="28" t="str">
        <f>_xlfn.IFNA(VLOOKUP($M163, XtEHR!A:F,2,FALSE)&amp;"."&amp;TRIM(VLOOKUP($M163, XtEHR!A:F,3,FALSE)),"-")</f>
        <v>-</v>
      </c>
    </row>
    <row r="164" spans="1:14" ht="15.75" thickTop="1" x14ac:dyDescent="0.25">
      <c r="A164" t="s">
        <v>874</v>
      </c>
      <c r="B164" t="s">
        <v>913</v>
      </c>
      <c r="D164" s="11" t="s">
        <v>992</v>
      </c>
      <c r="E164" s="15" t="str">
        <f t="shared" si="2"/>
        <v/>
      </c>
      <c r="F164" s="11" t="s">
        <v>992</v>
      </c>
      <c r="G164" s="15" t="str">
        <f>_xlfn.XLOOKUP(A164,KOS!Z:Z,KOS!N:N,"")</f>
        <v/>
      </c>
      <c r="H164" s="11" t="s">
        <v>992</v>
      </c>
      <c r="I164" s="15" t="str">
        <f>_xlfn.XLOOKUP(A164,'KOS SR'!V:V,'KOS SR'!N:N,"")</f>
        <v/>
      </c>
      <c r="J164" s="11" t="s">
        <v>992</v>
      </c>
      <c r="K164" s="28" t="str">
        <f>_xlfn.IFNA(VLOOKUP($M164, XtEHR!A:F,2,FALSE)&amp;"."&amp;TRIM(VLOOKUP($M164, XtEHR!A:F,3,FALSE)),"-")</f>
        <v>EHDSImagingStudy.series.instancesInTheSeries.keyImage</v>
      </c>
      <c r="L164" s="11" t="s">
        <v>992</v>
      </c>
      <c r="M164" t="s">
        <v>569</v>
      </c>
      <c r="N164" s="28" t="str">
        <f>_xlfn.IFNA(VLOOKUP($M164, XtEHR!A:F,2,FALSE)&amp;"."&amp;TRIM(VLOOKUP($M164, XtEHR!A:F,3,FALSE)),"-")</f>
        <v>EHDSImagingStudy.series.instancesInTheSeries.keyImage</v>
      </c>
    </row>
    <row r="165" spans="1:14" x14ac:dyDescent="0.25">
      <c r="A165" t="s">
        <v>875</v>
      </c>
      <c r="B165" t="s">
        <v>913</v>
      </c>
      <c r="C165" s="15" t="s">
        <v>47</v>
      </c>
      <c r="D165" s="11" t="s">
        <v>992</v>
      </c>
      <c r="E165" s="15" t="str">
        <f t="shared" si="2"/>
        <v>Basic-KeyObj.identifier</v>
      </c>
      <c r="F165" s="11" t="s">
        <v>992</v>
      </c>
      <c r="G165" s="15" t="str">
        <f>_xlfn.XLOOKUP(A165,KOS!Z:Z,KOS!N:N,"")</f>
        <v/>
      </c>
      <c r="H165" s="11" t="s">
        <v>992</v>
      </c>
      <c r="I165" s="15" t="str">
        <f>_xlfn.XLOOKUP(A165,'KOS SR'!V:V,'KOS SR'!N:N,"")</f>
        <v/>
      </c>
      <c r="J165" s="11" t="s">
        <v>992</v>
      </c>
      <c r="K165" s="28" t="str">
        <f>_xlfn.IFNA(VLOOKUP($M165, XtEHR!A:F,2,FALSE)&amp;"."&amp;TRIM(VLOOKUP($M165, XtEHR!A:F,3,FALSE)),"-")</f>
        <v>-</v>
      </c>
      <c r="L165" s="11" t="s">
        <v>992</v>
      </c>
      <c r="N165" s="28" t="str">
        <f>_xlfn.IFNA(VLOOKUP($M165, XtEHR!A:F,2,FALSE)&amp;"."&amp;TRIM(VLOOKUP($M165, XtEHR!A:F,3,FALSE)),"-")</f>
        <v>-</v>
      </c>
    </row>
    <row r="166" spans="1:14" x14ac:dyDescent="0.25">
      <c r="A166" t="s">
        <v>876</v>
      </c>
      <c r="B166" t="s">
        <v>913</v>
      </c>
      <c r="C166" s="15" t="s">
        <v>914</v>
      </c>
      <c r="D166" s="11" t="s">
        <v>992</v>
      </c>
      <c r="E166" s="15" t="str">
        <f t="shared" si="2"/>
        <v>Basic-KeyObj.extensio[status]</v>
      </c>
      <c r="F166" s="11" t="s">
        <v>992</v>
      </c>
      <c r="G166" s="15" t="str">
        <f>_xlfn.XLOOKUP(A166,KOS!Z:Z,KOS!N:N,"")</f>
        <v/>
      </c>
      <c r="H166" s="11" t="s">
        <v>992</v>
      </c>
      <c r="I166" s="15" t="str">
        <f>_xlfn.XLOOKUP(A166,'KOS SR'!V:V,'KOS SR'!N:N,"")</f>
        <v/>
      </c>
      <c r="J166" s="11" t="s">
        <v>992</v>
      </c>
      <c r="K166" s="28" t="str">
        <f>_xlfn.IFNA(VLOOKUP($M166, XtEHR!A:F,2,FALSE)&amp;"."&amp;TRIM(VLOOKUP($M166, XtEHR!A:F,3,FALSE)),"-")</f>
        <v>-</v>
      </c>
      <c r="L166" s="11" t="s">
        <v>992</v>
      </c>
      <c r="N166" s="28" t="str">
        <f>_xlfn.IFNA(VLOOKUP($M166, XtEHR!A:F,2,FALSE)&amp;"."&amp;TRIM(VLOOKUP($M166, XtEHR!A:F,3,FALSE)),"-")</f>
        <v>-</v>
      </c>
    </row>
    <row r="167" spans="1:14" x14ac:dyDescent="0.25">
      <c r="A167" t="s">
        <v>877</v>
      </c>
      <c r="B167" t="s">
        <v>913</v>
      </c>
      <c r="C167" s="15" t="s">
        <v>46</v>
      </c>
      <c r="D167" s="11" t="s">
        <v>992</v>
      </c>
      <c r="E167" s="15" t="str">
        <f t="shared" si="2"/>
        <v>Basic-KeyObj.subject</v>
      </c>
      <c r="F167" s="11" t="s">
        <v>992</v>
      </c>
      <c r="G167" s="15" t="str">
        <f>_xlfn.XLOOKUP(A167,KOS!Z:Z,KOS!N:N,"")</f>
        <v/>
      </c>
      <c r="H167" s="11" t="s">
        <v>992</v>
      </c>
      <c r="I167" s="15" t="str">
        <f>_xlfn.XLOOKUP(A167,'KOS SR'!V:V,'KOS SR'!N:N,"")</f>
        <v/>
      </c>
      <c r="J167" s="11" t="s">
        <v>992</v>
      </c>
      <c r="K167" s="28" t="str">
        <f>_xlfn.IFNA(VLOOKUP($M167, XtEHR!A:F,2,FALSE)&amp;"."&amp;TRIM(VLOOKUP($M167, XtEHR!A:F,3,FALSE)),"-")</f>
        <v>-</v>
      </c>
      <c r="L167" s="11" t="s">
        <v>992</v>
      </c>
      <c r="N167" s="28" t="str">
        <f>_xlfn.IFNA(VLOOKUP($M167, XtEHR!A:F,2,FALSE)&amp;"."&amp;TRIM(VLOOKUP($M167, XtEHR!A:F,3,FALSE)),"-")</f>
        <v>-</v>
      </c>
    </row>
    <row r="168" spans="1:14" x14ac:dyDescent="0.25">
      <c r="A168" t="s">
        <v>878</v>
      </c>
      <c r="B168" t="s">
        <v>913</v>
      </c>
      <c r="C168" s="15" t="s">
        <v>897</v>
      </c>
      <c r="D168" s="11" t="s">
        <v>992</v>
      </c>
      <c r="E168" s="15" t="str">
        <f t="shared" si="2"/>
        <v>Basic-KeyObj.extension[issued]</v>
      </c>
      <c r="F168" s="11" t="s">
        <v>992</v>
      </c>
      <c r="G168" s="15" t="str">
        <f>_xlfn.XLOOKUP(A168,KOS!Z:Z,KOS!N:N,"")</f>
        <v/>
      </c>
      <c r="H168" s="11" t="s">
        <v>992</v>
      </c>
      <c r="I168" s="15" t="str">
        <f>_xlfn.XLOOKUP(A168,'KOS SR'!V:V,'KOS SR'!N:N,"")</f>
        <v/>
      </c>
      <c r="J168" s="11" t="s">
        <v>992</v>
      </c>
      <c r="K168" s="28" t="str">
        <f>_xlfn.IFNA(VLOOKUP($M168, XtEHR!A:F,2,FALSE)&amp;"."&amp;TRIM(VLOOKUP($M168, XtEHR!A:F,3,FALSE)),"-")</f>
        <v>-</v>
      </c>
      <c r="L168" s="11" t="s">
        <v>992</v>
      </c>
      <c r="N168" s="28" t="str">
        <f>_xlfn.IFNA(VLOOKUP($M168, XtEHR!A:F,2,FALSE)&amp;"."&amp;TRIM(VLOOKUP($M168, XtEHR!A:F,3,FALSE)),"-")</f>
        <v>-</v>
      </c>
    </row>
    <row r="169" spans="1:14" x14ac:dyDescent="0.25">
      <c r="A169" t="s">
        <v>879</v>
      </c>
      <c r="B169" t="s">
        <v>913</v>
      </c>
      <c r="C169" s="15" t="s">
        <v>898</v>
      </c>
      <c r="D169" s="11" t="s">
        <v>992</v>
      </c>
      <c r="E169" s="15" t="str">
        <f t="shared" si="2"/>
        <v>Basic-KeyObj.extension[performer]</v>
      </c>
      <c r="F169" s="11" t="s">
        <v>992</v>
      </c>
      <c r="G169" s="15" t="str">
        <f>_xlfn.XLOOKUP(A169,KOS!Z:Z,KOS!N:N,"")</f>
        <v/>
      </c>
      <c r="H169" s="11" t="s">
        <v>992</v>
      </c>
      <c r="I169" s="15" t="str">
        <f>_xlfn.XLOOKUP(A169,'KOS SR'!V:V,'KOS SR'!N:N,"")</f>
        <v/>
      </c>
      <c r="J169" s="11" t="s">
        <v>992</v>
      </c>
      <c r="K169" s="28" t="str">
        <f>_xlfn.IFNA(VLOOKUP($M169, XtEHR!A:F,2,FALSE)&amp;"."&amp;TRIM(VLOOKUP($M169, XtEHR!A:F,3,FALSE)),"-")</f>
        <v>-</v>
      </c>
      <c r="L169" s="11" t="s">
        <v>992</v>
      </c>
      <c r="N169" s="28" t="str">
        <f>_xlfn.IFNA(VLOOKUP($M169, XtEHR!A:F,2,FALSE)&amp;"."&amp;TRIM(VLOOKUP($M169, XtEHR!A:F,3,FALSE)),"-")</f>
        <v>-</v>
      </c>
    </row>
    <row r="170" spans="1:14" x14ac:dyDescent="0.25">
      <c r="A170" t="s">
        <v>880</v>
      </c>
      <c r="B170" t="s">
        <v>913</v>
      </c>
      <c r="C170" s="15" t="s">
        <v>899</v>
      </c>
      <c r="D170" s="11" t="s">
        <v>992</v>
      </c>
      <c r="E170" s="15" t="str">
        <f t="shared" si="2"/>
        <v>Basic-KeyObj.extension[basedOn]</v>
      </c>
      <c r="F170" s="11" t="s">
        <v>992</v>
      </c>
      <c r="G170" s="15" t="str">
        <f>_xlfn.XLOOKUP(A170,KOS!Z:Z,KOS!N:N,"")</f>
        <v/>
      </c>
      <c r="H170" s="11" t="s">
        <v>992</v>
      </c>
      <c r="I170" s="15" t="str">
        <f>_xlfn.XLOOKUP(A170,'KOS SR'!V:V,'KOS SR'!N:N,"")</f>
        <v/>
      </c>
      <c r="J170" s="11" t="s">
        <v>992</v>
      </c>
      <c r="K170" s="28" t="str">
        <f>_xlfn.IFNA(VLOOKUP($M170, XtEHR!A:F,2,FALSE)&amp;"."&amp;TRIM(VLOOKUP($M170, XtEHR!A:F,3,FALSE)),"-")</f>
        <v>-</v>
      </c>
      <c r="L170" s="11" t="s">
        <v>992</v>
      </c>
      <c r="N170" s="28" t="str">
        <f>_xlfn.IFNA(VLOOKUP($M170, XtEHR!A:F,2,FALSE)&amp;"."&amp;TRIM(VLOOKUP($M170, XtEHR!A:F,3,FALSE)),"-")</f>
        <v>-</v>
      </c>
    </row>
    <row r="171" spans="1:14" x14ac:dyDescent="0.25">
      <c r="A171" t="s">
        <v>881</v>
      </c>
      <c r="B171" t="s">
        <v>913</v>
      </c>
      <c r="C171" s="15" t="s">
        <v>900</v>
      </c>
      <c r="D171" s="11" t="s">
        <v>992</v>
      </c>
      <c r="E171" s="15" t="str">
        <f t="shared" si="2"/>
        <v>Basic-KeyObj.extension[category]</v>
      </c>
      <c r="F171" s="11" t="s">
        <v>992</v>
      </c>
      <c r="G171" s="15" t="str">
        <f>_xlfn.XLOOKUP(A171,KOS!Z:Z,KOS!N:N,"")</f>
        <v/>
      </c>
      <c r="H171" s="11" t="s">
        <v>992</v>
      </c>
      <c r="I171" s="15" t="str">
        <f>_xlfn.XLOOKUP(A171,'KOS SR'!V:V,'KOS SR'!N:N,"")</f>
        <v/>
      </c>
      <c r="J171" s="11" t="s">
        <v>992</v>
      </c>
      <c r="K171" s="28" t="str">
        <f>_xlfn.IFNA(VLOOKUP($M171, XtEHR!A:F,2,FALSE)&amp;"."&amp;TRIM(VLOOKUP($M171, XtEHR!A:F,3,FALSE)),"-")</f>
        <v>-</v>
      </c>
      <c r="L171" s="11" t="s">
        <v>992</v>
      </c>
      <c r="N171" s="28" t="str">
        <f>_xlfn.IFNA(VLOOKUP($M171, XtEHR!A:F,2,FALSE)&amp;"."&amp;TRIM(VLOOKUP($M171, XtEHR!A:F,3,FALSE)),"-")</f>
        <v>-</v>
      </c>
    </row>
    <row r="172" spans="1:14" x14ac:dyDescent="0.25">
      <c r="B172" t="s">
        <v>913</v>
      </c>
      <c r="C172" s="15" t="s">
        <v>915</v>
      </c>
      <c r="D172" s="11" t="s">
        <v>992</v>
      </c>
      <c r="E172" s="15" t="str">
        <f t="shared" si="2"/>
        <v>Basic-KeyObj.extension[code].text</v>
      </c>
      <c r="F172" s="11" t="s">
        <v>992</v>
      </c>
      <c r="G172" s="15" t="str">
        <f>_xlfn.XLOOKUP(A172,KOS!Z:Z,KOS!N:N,"")</f>
        <v>--------</v>
      </c>
      <c r="H172" s="11" t="s">
        <v>992</v>
      </c>
      <c r="I172" s="15" t="str">
        <f>_xlfn.XLOOKUP(A172,'KOS SR'!V:V,'KOS SR'!N:N,"")</f>
        <v xml:space="preserve"> ---------</v>
      </c>
      <c r="J172" s="11" t="s">
        <v>992</v>
      </c>
      <c r="K172" s="28" t="str">
        <f>_xlfn.IFNA(VLOOKUP($M172, XtEHR!A:F,2,FALSE)&amp;"."&amp;TRIM(VLOOKUP($M172, XtEHR!A:F,3,FALSE)),"-")</f>
        <v>EHDSImagingStudy.series.instancesInTheSeries.keyImage.reason</v>
      </c>
      <c r="L172" s="11" t="s">
        <v>992</v>
      </c>
      <c r="M172" t="s">
        <v>571</v>
      </c>
      <c r="N172" s="28" t="str">
        <f>_xlfn.IFNA(VLOOKUP($M172, XtEHR!A:F,2,FALSE)&amp;"."&amp;TRIM(VLOOKUP($M172, XtEHR!A:F,3,FALSE)),"-")</f>
        <v>EHDSImagingStudy.series.instancesInTheSeries.keyImage.reason</v>
      </c>
    </row>
    <row r="173" spans="1:14" x14ac:dyDescent="0.25">
      <c r="A173" t="s">
        <v>882</v>
      </c>
      <c r="B173" t="s">
        <v>913</v>
      </c>
      <c r="C173" s="15" t="s">
        <v>916</v>
      </c>
      <c r="D173" s="11" t="s">
        <v>992</v>
      </c>
      <c r="E173" s="15" t="str">
        <f t="shared" si="2"/>
        <v>Basic-KeyObj.extension[code].coding</v>
      </c>
      <c r="F173" s="11" t="s">
        <v>992</v>
      </c>
      <c r="G173" s="15" t="str">
        <f>_xlfn.XLOOKUP(A173,KOS!Z:Z,KOS!N:N,"")</f>
        <v/>
      </c>
      <c r="H173" s="11" t="s">
        <v>992</v>
      </c>
      <c r="I173" s="15" t="str">
        <f>_xlfn.XLOOKUP(A173,'KOS SR'!V:V,'KOS SR'!N:N,"")</f>
        <v/>
      </c>
      <c r="J173" s="11" t="s">
        <v>992</v>
      </c>
      <c r="K173" s="28" t="str">
        <f>_xlfn.IFNA(VLOOKUP($M173, XtEHR!A:F,2,FALSE)&amp;"."&amp;TRIM(VLOOKUP($M173, XtEHR!A:F,3,FALSE)),"-")</f>
        <v>EHDSImagingStudy.series.instancesInTheSeries.keyImage.flag</v>
      </c>
      <c r="L173" s="11" t="s">
        <v>992</v>
      </c>
      <c r="M173" t="s">
        <v>570</v>
      </c>
      <c r="N173" s="28" t="str">
        <f>_xlfn.IFNA(VLOOKUP($M173, XtEHR!A:F,2,FALSE)&amp;"."&amp;TRIM(VLOOKUP($M173, XtEHR!A:F,3,FALSE)),"-")</f>
        <v>EHDSImagingStudy.series.instancesInTheSeries.keyImage.flag</v>
      </c>
    </row>
    <row r="174" spans="1:14" x14ac:dyDescent="0.25">
      <c r="A174" t="s">
        <v>883</v>
      </c>
      <c r="B174" t="s">
        <v>913</v>
      </c>
      <c r="C174" s="15" t="s">
        <v>901</v>
      </c>
      <c r="D174" s="11" t="s">
        <v>992</v>
      </c>
      <c r="E174" s="15" t="str">
        <f t="shared" si="2"/>
        <v>Basic-KeyObj.extension[studyUid]</v>
      </c>
      <c r="F174" s="11" t="s">
        <v>992</v>
      </c>
      <c r="G174" s="15" t="str">
        <f>_xlfn.XLOOKUP(A174,KOS!Z:Z,KOS!N:N,"")</f>
        <v/>
      </c>
      <c r="H174" s="11" t="s">
        <v>992</v>
      </c>
      <c r="I174" s="15" t="str">
        <f>_xlfn.XLOOKUP(A174,'KOS SR'!V:V,'KOS SR'!N:N,"")</f>
        <v/>
      </c>
      <c r="J174" s="11" t="s">
        <v>992</v>
      </c>
      <c r="K174" s="28" t="str">
        <f>_xlfn.IFNA(VLOOKUP($M174, XtEHR!A:F,2,FALSE)&amp;"."&amp;TRIM(VLOOKUP($M174, XtEHR!A:F,3,FALSE)),"-")</f>
        <v>EHDSImagingStudy.series.instancesInTheSeries.keyImage.instanceUID</v>
      </c>
      <c r="L174" s="11" t="s">
        <v>992</v>
      </c>
      <c r="M174" t="s">
        <v>573</v>
      </c>
      <c r="N174" s="28" t="str">
        <f>_xlfn.IFNA(VLOOKUP($M174, XtEHR!A:F,2,FALSE)&amp;"."&amp;TRIM(VLOOKUP($M174, XtEHR!A:F,3,FALSE)),"-")</f>
        <v>EHDSImagingStudy.series.instancesInTheSeries.keyImage.instanceUID</v>
      </c>
    </row>
    <row r="175" spans="1:14" x14ac:dyDescent="0.25">
      <c r="A175" t="s">
        <v>884</v>
      </c>
      <c r="B175" t="s">
        <v>913</v>
      </c>
      <c r="C175" s="15" t="s">
        <v>902</v>
      </c>
      <c r="D175" s="11" t="s">
        <v>992</v>
      </c>
      <c r="E175" s="15" t="str">
        <f t="shared" si="2"/>
        <v>Basic-KeyObj.extension[derivedFrom]</v>
      </c>
      <c r="F175" s="11" t="s">
        <v>992</v>
      </c>
      <c r="G175" s="15" t="str">
        <f>_xlfn.XLOOKUP(A175,KOS!Z:Z,KOS!N:N,"")</f>
        <v/>
      </c>
      <c r="H175" s="11" t="s">
        <v>992</v>
      </c>
      <c r="I175" s="15" t="str">
        <f>_xlfn.XLOOKUP(A175,'KOS SR'!V:V,'KOS SR'!N:N,"")</f>
        <v/>
      </c>
      <c r="J175" s="11" t="s">
        <v>992</v>
      </c>
      <c r="K175" s="28" t="str">
        <f>_xlfn.IFNA(VLOOKUP($M175, XtEHR!A:F,2,FALSE)&amp;"."&amp;TRIM(VLOOKUP($M175, XtEHR!A:F,3,FALSE)),"-")</f>
        <v>-</v>
      </c>
      <c r="L175" s="11" t="s">
        <v>992</v>
      </c>
      <c r="N175" s="28" t="str">
        <f>_xlfn.IFNA(VLOOKUP($M175, XtEHR!A:F,2,FALSE)&amp;"."&amp;TRIM(VLOOKUP($M175, XtEHR!A:F,3,FALSE)),"-")</f>
        <v>-</v>
      </c>
    </row>
    <row r="176" spans="1:14" x14ac:dyDescent="0.25">
      <c r="A176" t="s">
        <v>885</v>
      </c>
      <c r="B176" t="s">
        <v>913</v>
      </c>
      <c r="C176" s="15" t="s">
        <v>903</v>
      </c>
      <c r="D176" s="11" t="s">
        <v>992</v>
      </c>
      <c r="E176" s="15" t="str">
        <f t="shared" si="2"/>
        <v>Basic-KeyObj.extension[endpoint]</v>
      </c>
      <c r="F176" s="11" t="s">
        <v>992</v>
      </c>
      <c r="G176" s="15" t="str">
        <f>_xlfn.XLOOKUP(A176,KOS!Z:Z,KOS!N:N,"")</f>
        <v/>
      </c>
      <c r="H176" s="11" t="s">
        <v>992</v>
      </c>
      <c r="I176" s="15" t="str">
        <f>_xlfn.XLOOKUP(A176,'KOS SR'!V:V,'KOS SR'!N:N,"")</f>
        <v/>
      </c>
      <c r="J176" s="11" t="s">
        <v>992</v>
      </c>
      <c r="K176" s="28" t="str">
        <f>_xlfn.IFNA(VLOOKUP($M176, XtEHR!A:F,2,FALSE)&amp;"."&amp;TRIM(VLOOKUP($M176, XtEHR!A:F,3,FALSE)),"-")</f>
        <v>-</v>
      </c>
      <c r="L176" s="11" t="s">
        <v>992</v>
      </c>
      <c r="N176" s="28" t="str">
        <f>_xlfn.IFNA(VLOOKUP($M176, XtEHR!A:F,2,FALSE)&amp;"."&amp;TRIM(VLOOKUP($M176, XtEHR!A:F,3,FALSE)),"-")</f>
        <v>-</v>
      </c>
    </row>
    <row r="177" spans="1:14" x14ac:dyDescent="0.25">
      <c r="A177" t="s">
        <v>886</v>
      </c>
      <c r="B177" t="s">
        <v>913</v>
      </c>
      <c r="C177" s="15" t="s">
        <v>904</v>
      </c>
      <c r="D177" s="11" t="s">
        <v>992</v>
      </c>
      <c r="E177" s="15" t="str">
        <f t="shared" si="2"/>
        <v>Basic-KeyObj.extension[seriesUid]</v>
      </c>
      <c r="F177" s="11" t="s">
        <v>992</v>
      </c>
      <c r="G177" s="15" t="str">
        <f>_xlfn.XLOOKUP(A177,KOS!Z:Z,KOS!N:N,"")</f>
        <v/>
      </c>
      <c r="H177" s="11" t="s">
        <v>992</v>
      </c>
      <c r="I177" s="15" t="str">
        <f>_xlfn.XLOOKUP(A177,'KOS SR'!V:V,'KOS SR'!N:N,"")</f>
        <v/>
      </c>
      <c r="J177" s="11" t="s">
        <v>992</v>
      </c>
      <c r="K177" s="28" t="str">
        <f>_xlfn.IFNA(VLOOKUP($M177, XtEHR!A:F,2,FALSE)&amp;"."&amp;TRIM(VLOOKUP($M177, XtEHR!A:F,3,FALSE)),"-")</f>
        <v>EHDSImagingStudy.series.instancesInTheSeries.keyImage.seriesUID</v>
      </c>
      <c r="L177" s="11" t="s">
        <v>992</v>
      </c>
      <c r="M177" t="s">
        <v>572</v>
      </c>
      <c r="N177" s="28" t="str">
        <f>_xlfn.IFNA(VLOOKUP($M177, XtEHR!A:F,2,FALSE)&amp;"."&amp;TRIM(VLOOKUP($M177, XtEHR!A:F,3,FALSE)),"-")</f>
        <v>EHDSImagingStudy.series.instancesInTheSeries.keyImage.seriesUID</v>
      </c>
    </row>
    <row r="178" spans="1:14" x14ac:dyDescent="0.25">
      <c r="A178" t="s">
        <v>887</v>
      </c>
      <c r="B178" t="s">
        <v>913</v>
      </c>
      <c r="C178" s="15" t="s">
        <v>905</v>
      </c>
      <c r="D178" s="11" t="s">
        <v>992</v>
      </c>
      <c r="E178" s="15" t="str">
        <f t="shared" si="2"/>
        <v>Basic-KeyObj.extension[seriesNumber]</v>
      </c>
      <c r="F178" s="11" t="s">
        <v>992</v>
      </c>
      <c r="G178" s="15" t="str">
        <f>_xlfn.XLOOKUP(A178,KOS!Z:Z,KOS!N:N,"")</f>
        <v/>
      </c>
      <c r="H178" s="11" t="s">
        <v>992</v>
      </c>
      <c r="I178" s="15" t="str">
        <f>_xlfn.XLOOKUP(A178,'KOS SR'!V:V,'KOS SR'!N:N,"")</f>
        <v/>
      </c>
      <c r="J178" s="11" t="s">
        <v>992</v>
      </c>
      <c r="K178" s="28" t="str">
        <f>_xlfn.IFNA(VLOOKUP($M178, XtEHR!A:F,2,FALSE)&amp;"."&amp;TRIM(VLOOKUP($M178, XtEHR!A:F,3,FALSE)),"-")</f>
        <v>-</v>
      </c>
      <c r="L178" s="11" t="s">
        <v>992</v>
      </c>
      <c r="N178" s="28" t="str">
        <f>_xlfn.IFNA(VLOOKUP($M178, XtEHR!A:F,2,FALSE)&amp;"."&amp;TRIM(VLOOKUP($M178, XtEHR!A:F,3,FALSE)),"-")</f>
        <v>-</v>
      </c>
    </row>
    <row r="179" spans="1:14" x14ac:dyDescent="0.25">
      <c r="A179" t="s">
        <v>888</v>
      </c>
      <c r="B179" t="s">
        <v>913</v>
      </c>
      <c r="C179" s="15" t="s">
        <v>906</v>
      </c>
      <c r="D179" s="11" t="s">
        <v>992</v>
      </c>
      <c r="E179" s="15" t="str">
        <f t="shared" si="2"/>
        <v>Basic-KeyObj.extension[frameOfReferenceUid]</v>
      </c>
      <c r="F179" s="11" t="s">
        <v>992</v>
      </c>
      <c r="G179" s="15" t="str">
        <f>_xlfn.XLOOKUP(A179,KOS!Z:Z,KOS!N:N,"")</f>
        <v/>
      </c>
      <c r="H179" s="11" t="s">
        <v>992</v>
      </c>
      <c r="I179" s="15" t="str">
        <f>_xlfn.XLOOKUP(A179,'KOS SR'!V:V,'KOS SR'!N:N,"")</f>
        <v/>
      </c>
      <c r="J179" s="11" t="s">
        <v>992</v>
      </c>
      <c r="K179" s="28" t="str">
        <f>_xlfn.IFNA(VLOOKUP($M179, XtEHR!A:F,2,FALSE)&amp;"."&amp;TRIM(VLOOKUP($M179, XtEHR!A:F,3,FALSE)),"-")</f>
        <v>-</v>
      </c>
      <c r="L179" s="11" t="s">
        <v>992</v>
      </c>
      <c r="N179" s="28" t="str">
        <f>_xlfn.IFNA(VLOOKUP($M179, XtEHR!A:F,2,FALSE)&amp;"."&amp;TRIM(VLOOKUP($M179, XtEHR!A:F,3,FALSE)),"-")</f>
        <v>-</v>
      </c>
    </row>
    <row r="180" spans="1:14" x14ac:dyDescent="0.25">
      <c r="A180" t="s">
        <v>889</v>
      </c>
      <c r="B180" t="s">
        <v>913</v>
      </c>
      <c r="C180" s="15" t="s">
        <v>907</v>
      </c>
      <c r="D180" s="11" t="s">
        <v>992</v>
      </c>
      <c r="E180" s="15" t="str">
        <f t="shared" si="2"/>
        <v>Basic-KeyObj.extension[bodySite]</v>
      </c>
      <c r="F180" s="11" t="s">
        <v>992</v>
      </c>
      <c r="G180" s="15" t="str">
        <f>_xlfn.XLOOKUP(A180,KOS!Z:Z,KOS!N:N,"")</f>
        <v/>
      </c>
      <c r="H180" s="11" t="s">
        <v>992</v>
      </c>
      <c r="I180" s="15" t="str">
        <f>_xlfn.XLOOKUP(A180,'KOS SR'!V:V,'KOS SR'!N:N,"")</f>
        <v/>
      </c>
      <c r="J180" s="11" t="s">
        <v>992</v>
      </c>
      <c r="K180" s="28" t="str">
        <f>_xlfn.IFNA(VLOOKUP($M180, XtEHR!A:F,2,FALSE)&amp;"."&amp;TRIM(VLOOKUP($M180, XtEHR!A:F,3,FALSE)),"-")</f>
        <v>-</v>
      </c>
      <c r="L180" s="11" t="s">
        <v>992</v>
      </c>
      <c r="N180" s="28" t="str">
        <f>_xlfn.IFNA(VLOOKUP($M180, XtEHR!A:F,2,FALSE)&amp;"."&amp;TRIM(VLOOKUP($M180, XtEHR!A:F,3,FALSE)),"-")</f>
        <v>-</v>
      </c>
    </row>
    <row r="181" spans="1:14" x14ac:dyDescent="0.25">
      <c r="A181" t="s">
        <v>890</v>
      </c>
      <c r="B181" t="s">
        <v>913</v>
      </c>
      <c r="C181" s="15" t="s">
        <v>908</v>
      </c>
      <c r="D181" s="11" t="s">
        <v>992</v>
      </c>
      <c r="E181" s="15" t="str">
        <f t="shared" si="2"/>
        <v>Basic-KeyObj.extension[focus]</v>
      </c>
      <c r="F181" s="11" t="s">
        <v>992</v>
      </c>
      <c r="G181" s="15" t="str">
        <f>_xlfn.XLOOKUP(A181,KOS!Z:Z,KOS!N:N,"")</f>
        <v/>
      </c>
      <c r="H181" s="11" t="s">
        <v>992</v>
      </c>
      <c r="I181" s="15" t="str">
        <f>_xlfn.XLOOKUP(A181,'KOS SR'!V:V,'KOS SR'!N:N,"")</f>
        <v/>
      </c>
      <c r="J181" s="11" t="s">
        <v>992</v>
      </c>
      <c r="K181" s="28" t="str">
        <f>_xlfn.IFNA(VLOOKUP($M181, XtEHR!A:F,2,FALSE)&amp;"."&amp;TRIM(VLOOKUP($M181, XtEHR!A:F,3,FALSE)),"-")</f>
        <v>-</v>
      </c>
      <c r="L181" s="11" t="s">
        <v>992</v>
      </c>
      <c r="N181" s="28" t="str">
        <f>_xlfn.IFNA(VLOOKUP($M181, XtEHR!A:F,2,FALSE)&amp;"."&amp;TRIM(VLOOKUP($M181, XtEHR!A:F,3,FALSE)),"-")</f>
        <v>-</v>
      </c>
    </row>
    <row r="182" spans="1:14" x14ac:dyDescent="0.25">
      <c r="A182" t="s">
        <v>891</v>
      </c>
      <c r="B182" t="s">
        <v>913</v>
      </c>
      <c r="C182" s="15" t="s">
        <v>896</v>
      </c>
      <c r="D182" s="11" t="s">
        <v>992</v>
      </c>
      <c r="E182" s="15" t="str">
        <f t="shared" si="2"/>
        <v>Basic-KeyObj.extension[instance]</v>
      </c>
      <c r="F182" s="11" t="s">
        <v>992</v>
      </c>
      <c r="G182" s="15" t="str">
        <f>_xlfn.XLOOKUP(A182,KOS!Z:Z,KOS!N:N,"")</f>
        <v/>
      </c>
      <c r="H182" s="11" t="s">
        <v>992</v>
      </c>
      <c r="I182" s="15" t="str">
        <f>_xlfn.XLOOKUP(A182,'KOS SR'!V:V,'KOS SR'!N:N,"")</f>
        <v/>
      </c>
      <c r="J182" s="11" t="s">
        <v>992</v>
      </c>
      <c r="K182" s="28" t="str">
        <f>_xlfn.IFNA(VLOOKUP($M182, XtEHR!A:F,2,FALSE)&amp;"."&amp;TRIM(VLOOKUP($M182, XtEHR!A:F,3,FALSE)),"-")</f>
        <v>-</v>
      </c>
      <c r="L182" s="11" t="s">
        <v>992</v>
      </c>
      <c r="N182" s="28" t="str">
        <f>_xlfn.IFNA(VLOOKUP($M182, XtEHR!A:F,2,FALSE)&amp;"."&amp;TRIM(VLOOKUP($M182, XtEHR!A:F,3,FALSE)),"-")</f>
        <v>-</v>
      </c>
    </row>
    <row r="183" spans="1:14" x14ac:dyDescent="0.25">
      <c r="A183" t="s">
        <v>892</v>
      </c>
      <c r="B183" t="s">
        <v>913</v>
      </c>
      <c r="C183" s="15" t="s">
        <v>909</v>
      </c>
      <c r="D183" s="11" t="s">
        <v>992</v>
      </c>
      <c r="E183" s="15" t="str">
        <f t="shared" si="2"/>
        <v>Basic-KeyObj.extension[instance].extension[instance.uid]</v>
      </c>
      <c r="F183" s="11" t="s">
        <v>992</v>
      </c>
      <c r="G183" s="15" t="str">
        <f>_xlfn.XLOOKUP(A183,KOS!Z:Z,KOS!N:N,"")</f>
        <v/>
      </c>
      <c r="H183" s="11" t="s">
        <v>992</v>
      </c>
      <c r="I183" s="15" t="str">
        <f>_xlfn.XLOOKUP(A183,'KOS SR'!V:V,'KOS SR'!N:N,"")</f>
        <v/>
      </c>
      <c r="J183" s="11" t="s">
        <v>992</v>
      </c>
      <c r="K183" s="28" t="str">
        <f>_xlfn.IFNA(VLOOKUP($M183, XtEHR!A:F,2,FALSE)&amp;"."&amp;TRIM(VLOOKUP($M183, XtEHR!A:F,3,FALSE)),"-")</f>
        <v>-</v>
      </c>
      <c r="L183" s="11" t="s">
        <v>992</v>
      </c>
      <c r="N183" s="28" t="str">
        <f>_xlfn.IFNA(VLOOKUP($M183, XtEHR!A:F,2,FALSE)&amp;"."&amp;TRIM(VLOOKUP($M183, XtEHR!A:F,3,FALSE)),"-")</f>
        <v>-</v>
      </c>
    </row>
    <row r="184" spans="1:14" ht="45" x14ac:dyDescent="0.25">
      <c r="A184" t="s">
        <v>893</v>
      </c>
      <c r="B184" t="s">
        <v>913</v>
      </c>
      <c r="C184" s="15" t="s">
        <v>910</v>
      </c>
      <c r="D184" s="11" t="s">
        <v>992</v>
      </c>
      <c r="E184" s="15" t="str">
        <f t="shared" si="2"/>
        <v>Basic-KeyObj.extension[instance].extension[instance.uid].extension[instance.number]</v>
      </c>
      <c r="F184" s="11" t="s">
        <v>992</v>
      </c>
      <c r="G184" s="15" t="str">
        <f>_xlfn.XLOOKUP(A184,KOS!Z:Z,KOS!N:N,"")</f>
        <v/>
      </c>
      <c r="H184" s="11" t="s">
        <v>992</v>
      </c>
      <c r="I184" s="15" t="str">
        <f>_xlfn.XLOOKUP(A184,'KOS SR'!V:V,'KOS SR'!N:N,"")</f>
        <v/>
      </c>
      <c r="J184" s="11" t="s">
        <v>992</v>
      </c>
      <c r="K184" s="28" t="str">
        <f>_xlfn.IFNA(VLOOKUP($M184, XtEHR!A:F,2,FALSE)&amp;"."&amp;TRIM(VLOOKUP($M184, XtEHR!A:F,3,FALSE)),"-")</f>
        <v>-</v>
      </c>
      <c r="L184" s="11" t="s">
        <v>992</v>
      </c>
      <c r="N184" s="28" t="str">
        <f>_xlfn.IFNA(VLOOKUP($M184, XtEHR!A:F,2,FALSE)&amp;"."&amp;TRIM(VLOOKUP($M184, XtEHR!A:F,3,FALSE)),"-")</f>
        <v>-</v>
      </c>
    </row>
    <row r="185" spans="1:14" ht="45" x14ac:dyDescent="0.25">
      <c r="A185" t="s">
        <v>894</v>
      </c>
      <c r="B185" t="s">
        <v>913</v>
      </c>
      <c r="C185" s="15" t="s">
        <v>911</v>
      </c>
      <c r="D185" s="11" t="s">
        <v>992</v>
      </c>
      <c r="E185" s="15" t="str">
        <f t="shared" si="2"/>
        <v>Basic-KeyObj.extension[instance].extension[instance.uid].extension[instance.number].extension[instance.sopClass]</v>
      </c>
      <c r="F185" s="11" t="s">
        <v>992</v>
      </c>
      <c r="G185" s="15" t="str">
        <f>_xlfn.XLOOKUP(A185,KOS!Z:Z,KOS!N:N,"")</f>
        <v/>
      </c>
      <c r="H185" s="11" t="s">
        <v>992</v>
      </c>
      <c r="I185" s="15" t="str">
        <f>_xlfn.XLOOKUP(A185,'KOS SR'!V:V,'KOS SR'!N:N,"")</f>
        <v/>
      </c>
      <c r="J185" s="11" t="s">
        <v>992</v>
      </c>
      <c r="K185" s="28" t="str">
        <f>_xlfn.IFNA(VLOOKUP($M185, XtEHR!A:F,2,FALSE)&amp;"."&amp;TRIM(VLOOKUP($M185, XtEHR!A:F,3,FALSE)),"-")</f>
        <v>-</v>
      </c>
      <c r="L185" s="11" t="s">
        <v>992</v>
      </c>
      <c r="N185" s="28" t="str">
        <f>_xlfn.IFNA(VLOOKUP($M185, XtEHR!A:F,2,FALSE)&amp;"."&amp;TRIM(VLOOKUP($M185, XtEHR!A:F,3,FALSE)),"-")</f>
        <v>-</v>
      </c>
    </row>
    <row r="186" spans="1:14" ht="60" x14ac:dyDescent="0.25">
      <c r="A186" t="s">
        <v>895</v>
      </c>
      <c r="B186" t="s">
        <v>913</v>
      </c>
      <c r="C186" s="15" t="s">
        <v>912</v>
      </c>
      <c r="D186" s="11" t="s">
        <v>992</v>
      </c>
      <c r="E186" s="15" t="str">
        <f t="shared" si="2"/>
        <v>Basic-KeyObj.extension[instance].extension[instance.uid].extension[instance.number].extension[instance.sopClass].extension[instance.subset]</v>
      </c>
      <c r="F186" s="11" t="s">
        <v>992</v>
      </c>
      <c r="G186" s="15" t="str">
        <f>_xlfn.XLOOKUP(A186,KOS!Z:Z,KOS!N:N,"")</f>
        <v/>
      </c>
      <c r="H186" s="11" t="s">
        <v>992</v>
      </c>
      <c r="I186" s="15" t="str">
        <f>_xlfn.XLOOKUP(A186,'KOS SR'!V:V,'KOS SR'!N:N,"")</f>
        <v/>
      </c>
      <c r="J186" s="11" t="s">
        <v>992</v>
      </c>
      <c r="K186" s="28" t="str">
        <f>_xlfn.IFNA(VLOOKUP($M186, XtEHR!A:F,2,FALSE)&amp;"."&amp;TRIM(VLOOKUP($M186, XtEHR!A:F,3,FALSE)),"-")</f>
        <v>-</v>
      </c>
      <c r="L186" s="11" t="s">
        <v>992</v>
      </c>
      <c r="N186" s="28" t="str">
        <f>_xlfn.IFNA(VLOOKUP($M186, XtEHR!A:F,2,FALSE)&amp;"."&amp;TRIM(VLOOKUP($M186, XtEHR!A:F,3,FALSE)),"-")</f>
        <v>-</v>
      </c>
    </row>
    <row r="187" spans="1:14" x14ac:dyDescent="0.25">
      <c r="D187" s="11"/>
      <c r="F187" s="11"/>
      <c r="H187" s="11"/>
      <c r="J187" s="11"/>
      <c r="K187" s="28"/>
      <c r="L187" s="11"/>
      <c r="N187" s="28" t="str">
        <f>_xlfn.IFNA(VLOOKUP($M187, XtEHR!A:F,2,FALSE)&amp;"."&amp;TRIM(VLOOKUP($M187, XtEHR!A:F,3,FALSE)),"-")</f>
        <v>-</v>
      </c>
    </row>
    <row r="188" spans="1:14" x14ac:dyDescent="0.25">
      <c r="A188" t="s">
        <v>941</v>
      </c>
      <c r="B188" t="s">
        <v>929</v>
      </c>
      <c r="C188" t="s">
        <v>47</v>
      </c>
      <c r="D188" s="11"/>
      <c r="F188" s="11"/>
      <c r="H188" s="11"/>
      <c r="J188" s="11"/>
      <c r="K188" s="28"/>
      <c r="L188" s="11"/>
      <c r="N188" s="28" t="str">
        <f>_xlfn.IFNA(VLOOKUP($M188, XtEHR!A:F,2,FALSE)&amp;"."&amp;TRIM(VLOOKUP($M188, XtEHR!A:F,3,FALSE)),"-")</f>
        <v>-</v>
      </c>
    </row>
    <row r="189" spans="1:14" x14ac:dyDescent="0.25">
      <c r="A189" t="s">
        <v>942</v>
      </c>
      <c r="B189" t="s">
        <v>929</v>
      </c>
      <c r="C189" t="s">
        <v>65</v>
      </c>
      <c r="D189" s="11"/>
      <c r="F189" s="11"/>
      <c r="H189" s="11"/>
      <c r="J189" s="11"/>
      <c r="K189" s="28"/>
      <c r="L189" s="11"/>
    </row>
    <row r="190" spans="1:14" x14ac:dyDescent="0.25">
      <c r="A190" t="s">
        <v>943</v>
      </c>
      <c r="B190" t="s">
        <v>929</v>
      </c>
      <c r="C190" t="s">
        <v>930</v>
      </c>
      <c r="D190" s="11"/>
      <c r="F190" s="11"/>
      <c r="H190" s="11"/>
      <c r="J190" s="11"/>
      <c r="K190" s="28"/>
      <c r="L190" s="11"/>
    </row>
    <row r="191" spans="1:14" x14ac:dyDescent="0.25">
      <c r="A191" t="s">
        <v>944</v>
      </c>
      <c r="B191" t="s">
        <v>929</v>
      </c>
      <c r="C191" t="s">
        <v>346</v>
      </c>
      <c r="D191" s="11"/>
      <c r="F191" s="11"/>
      <c r="H191" s="11"/>
      <c r="J191" s="11"/>
      <c r="K191" s="28"/>
      <c r="L191" s="11"/>
    </row>
    <row r="192" spans="1:14" x14ac:dyDescent="0.25">
      <c r="A192" t="s">
        <v>945</v>
      </c>
      <c r="B192" t="s">
        <v>929</v>
      </c>
      <c r="C192" t="s">
        <v>850</v>
      </c>
      <c r="D192" s="11"/>
      <c r="F192" s="11"/>
      <c r="H192" s="11"/>
      <c r="J192" s="11"/>
      <c r="K192" s="28"/>
      <c r="L192" s="11"/>
    </row>
    <row r="193" spans="1:12" x14ac:dyDescent="0.25">
      <c r="A193" t="s">
        <v>946</v>
      </c>
      <c r="B193" t="s">
        <v>929</v>
      </c>
      <c r="C193" t="s">
        <v>931</v>
      </c>
      <c r="D193" s="11"/>
      <c r="F193" s="11"/>
      <c r="H193" s="11"/>
      <c r="J193" s="11"/>
      <c r="K193" s="28"/>
      <c r="L193" s="11"/>
    </row>
    <row r="194" spans="1:12" x14ac:dyDescent="0.25">
      <c r="A194" t="s">
        <v>947</v>
      </c>
      <c r="B194" t="s">
        <v>929</v>
      </c>
      <c r="C194" t="s">
        <v>852</v>
      </c>
      <c r="D194" s="11"/>
      <c r="F194" s="11"/>
      <c r="H194" s="11"/>
      <c r="J194" s="11"/>
      <c r="K194" s="28"/>
      <c r="L194" s="11"/>
    </row>
    <row r="195" spans="1:12" x14ac:dyDescent="0.25">
      <c r="A195" t="s">
        <v>948</v>
      </c>
      <c r="B195" t="s">
        <v>929</v>
      </c>
      <c r="C195" t="s">
        <v>853</v>
      </c>
      <c r="D195" s="11"/>
      <c r="F195" s="11"/>
      <c r="H195" s="11"/>
      <c r="J195" s="11"/>
      <c r="K195" s="28"/>
      <c r="L195" s="11"/>
    </row>
    <row r="196" spans="1:12" x14ac:dyDescent="0.25">
      <c r="A196" t="s">
        <v>949</v>
      </c>
      <c r="B196" t="s">
        <v>929</v>
      </c>
      <c r="C196" t="s">
        <v>932</v>
      </c>
      <c r="D196" s="11"/>
      <c r="F196" s="11"/>
      <c r="H196" s="11"/>
      <c r="J196" s="11"/>
      <c r="K196" s="28"/>
      <c r="L196" s="11"/>
    </row>
    <row r="197" spans="1:12" x14ac:dyDescent="0.25">
      <c r="A197" t="s">
        <v>950</v>
      </c>
      <c r="B197" t="s">
        <v>929</v>
      </c>
      <c r="C197" t="s">
        <v>856</v>
      </c>
      <c r="D197" s="11"/>
      <c r="F197" s="11"/>
      <c r="H197" s="11"/>
      <c r="J197" s="11"/>
      <c r="K197" s="28"/>
      <c r="L197" s="11"/>
    </row>
    <row r="198" spans="1:12" x14ac:dyDescent="0.25">
      <c r="A198" t="s">
        <v>951</v>
      </c>
      <c r="B198" t="s">
        <v>929</v>
      </c>
      <c r="C198" t="s">
        <v>933</v>
      </c>
      <c r="D198" s="11"/>
      <c r="F198" s="11"/>
      <c r="H198" s="11"/>
      <c r="J198" s="11"/>
      <c r="K198" s="28"/>
      <c r="L198" s="11"/>
    </row>
    <row r="199" spans="1:12" x14ac:dyDescent="0.25">
      <c r="A199" t="s">
        <v>952</v>
      </c>
      <c r="B199" t="s">
        <v>929</v>
      </c>
      <c r="C199" t="s">
        <v>934</v>
      </c>
      <c r="D199" s="11"/>
      <c r="F199" s="11"/>
      <c r="H199" s="11"/>
      <c r="J199" s="11"/>
      <c r="K199" s="28"/>
      <c r="L199" s="11"/>
    </row>
    <row r="200" spans="1:12" x14ac:dyDescent="0.25">
      <c r="A200" t="s">
        <v>953</v>
      </c>
      <c r="B200" t="s">
        <v>929</v>
      </c>
      <c r="C200" t="s">
        <v>857</v>
      </c>
      <c r="D200" s="11"/>
      <c r="F200" s="11"/>
      <c r="H200" s="11"/>
      <c r="J200" s="11"/>
      <c r="K200" s="28"/>
      <c r="L200" s="11"/>
    </row>
    <row r="201" spans="1:12" x14ac:dyDescent="0.25">
      <c r="A201" t="s">
        <v>954</v>
      </c>
      <c r="B201" t="s">
        <v>929</v>
      </c>
      <c r="C201" t="s">
        <v>935</v>
      </c>
      <c r="D201" s="11"/>
      <c r="F201" s="11"/>
      <c r="H201" s="11"/>
      <c r="J201" s="11"/>
      <c r="K201" s="28"/>
      <c r="L201" s="11"/>
    </row>
    <row r="202" spans="1:12" x14ac:dyDescent="0.25">
      <c r="A202" t="s">
        <v>955</v>
      </c>
      <c r="B202" t="s">
        <v>929</v>
      </c>
      <c r="C202" t="s">
        <v>936</v>
      </c>
      <c r="D202" s="11"/>
      <c r="F202" s="11"/>
      <c r="H202" s="11"/>
      <c r="J202" s="11"/>
      <c r="K202" s="28"/>
      <c r="L202" s="11"/>
    </row>
    <row r="203" spans="1:12" x14ac:dyDescent="0.25">
      <c r="A203" t="s">
        <v>956</v>
      </c>
      <c r="B203" t="s">
        <v>929</v>
      </c>
      <c r="C203" t="s">
        <v>348</v>
      </c>
      <c r="D203" s="11"/>
      <c r="F203" s="11"/>
      <c r="H203" s="11"/>
      <c r="J203" s="11"/>
      <c r="K203" s="28"/>
      <c r="L203" s="11"/>
    </row>
    <row r="204" spans="1:12" x14ac:dyDescent="0.25">
      <c r="A204" t="s">
        <v>957</v>
      </c>
      <c r="B204" t="s">
        <v>929</v>
      </c>
      <c r="C204" t="s">
        <v>937</v>
      </c>
      <c r="D204" s="11"/>
      <c r="F204" s="11"/>
      <c r="H204" s="11"/>
      <c r="J204" s="11"/>
      <c r="K204" s="28"/>
      <c r="L204" s="11"/>
    </row>
    <row r="205" spans="1:12" x14ac:dyDescent="0.25">
      <c r="A205" t="s">
        <v>958</v>
      </c>
      <c r="B205" t="s">
        <v>929</v>
      </c>
      <c r="C205" t="s">
        <v>584</v>
      </c>
      <c r="D205" s="11"/>
      <c r="F205" s="11"/>
      <c r="H205" s="11"/>
      <c r="J205" s="11"/>
      <c r="K205" s="28"/>
      <c r="L205" s="11"/>
    </row>
    <row r="206" spans="1:12" x14ac:dyDescent="0.25">
      <c r="A206" t="s">
        <v>959</v>
      </c>
      <c r="B206" t="s">
        <v>929</v>
      </c>
      <c r="C206" t="s">
        <v>938</v>
      </c>
      <c r="D206" s="11"/>
      <c r="F206" s="11"/>
      <c r="H206" s="11"/>
      <c r="J206" s="11"/>
      <c r="K206" s="28"/>
      <c r="L206" s="11"/>
    </row>
    <row r="207" spans="1:12" x14ac:dyDescent="0.25">
      <c r="A207" t="s">
        <v>960</v>
      </c>
      <c r="B207" t="s">
        <v>929</v>
      </c>
      <c r="C207" t="s">
        <v>275</v>
      </c>
      <c r="D207" s="11"/>
      <c r="F207" s="11"/>
      <c r="H207" s="11"/>
      <c r="J207" s="11"/>
      <c r="K207" s="28"/>
      <c r="L207" s="11"/>
    </row>
    <row r="208" spans="1:12" x14ac:dyDescent="0.25">
      <c r="A208" t="s">
        <v>961</v>
      </c>
      <c r="B208" t="s">
        <v>929</v>
      </c>
      <c r="C208" t="s">
        <v>939</v>
      </c>
      <c r="D208" s="11"/>
      <c r="F208" s="11"/>
      <c r="H208" s="11"/>
      <c r="J208" s="11"/>
      <c r="K208" s="28"/>
      <c r="L208" s="11"/>
    </row>
    <row r="209" spans="1:12" x14ac:dyDescent="0.25">
      <c r="A209" t="s">
        <v>962</v>
      </c>
      <c r="B209" t="s">
        <v>929</v>
      </c>
      <c r="C209" t="s">
        <v>940</v>
      </c>
      <c r="D209" s="11"/>
      <c r="F209" s="11"/>
      <c r="H209" s="11"/>
      <c r="J209" s="11"/>
      <c r="K209" s="28"/>
      <c r="L209" s="11"/>
    </row>
    <row r="210" spans="1:12" x14ac:dyDescent="0.25">
      <c r="D210" s="11"/>
      <c r="F210" s="11"/>
      <c r="H210" s="11"/>
      <c r="J210" s="11"/>
      <c r="K210" s="28"/>
      <c r="L210" s="11"/>
    </row>
    <row r="211" spans="1:12" x14ac:dyDescent="0.25">
      <c r="A211" t="s">
        <v>964</v>
      </c>
      <c r="B211" t="s">
        <v>963</v>
      </c>
      <c r="C211" t="s">
        <v>47</v>
      </c>
      <c r="D211" s="11"/>
      <c r="F211" s="11"/>
      <c r="H211" s="11"/>
      <c r="J211" s="11"/>
      <c r="K211" s="28"/>
      <c r="L211" s="11"/>
    </row>
    <row r="212" spans="1:12" x14ac:dyDescent="0.25">
      <c r="A212" t="s">
        <v>965</v>
      </c>
      <c r="B212" t="s">
        <v>963</v>
      </c>
      <c r="C212" t="s">
        <v>65</v>
      </c>
      <c r="D212" s="11"/>
      <c r="F212" s="11"/>
      <c r="H212" s="11"/>
      <c r="J212" s="11"/>
      <c r="K212" s="28"/>
      <c r="L212" s="11"/>
    </row>
    <row r="213" spans="1:12" x14ac:dyDescent="0.25">
      <c r="A213" t="s">
        <v>966</v>
      </c>
      <c r="B213" t="s">
        <v>963</v>
      </c>
      <c r="C213" t="s">
        <v>930</v>
      </c>
      <c r="D213" s="11"/>
      <c r="F213" s="11"/>
      <c r="H213" s="11"/>
      <c r="J213" s="11"/>
      <c r="K213" s="28"/>
      <c r="L213" s="11"/>
    </row>
    <row r="214" spans="1:12" x14ac:dyDescent="0.25">
      <c r="A214" t="s">
        <v>967</v>
      </c>
      <c r="B214" t="s">
        <v>963</v>
      </c>
      <c r="C214" t="s">
        <v>346</v>
      </c>
      <c r="D214" s="11"/>
      <c r="F214" s="11"/>
      <c r="H214" s="11"/>
      <c r="J214" s="11"/>
      <c r="K214" s="28"/>
      <c r="L214" s="11"/>
    </row>
    <row r="215" spans="1:12" x14ac:dyDescent="0.25">
      <c r="A215" t="s">
        <v>968</v>
      </c>
      <c r="B215" t="s">
        <v>963</v>
      </c>
      <c r="C215" t="s">
        <v>850</v>
      </c>
      <c r="D215" s="11"/>
      <c r="F215" s="11"/>
      <c r="H215" s="11"/>
      <c r="J215" s="11"/>
      <c r="K215" s="28"/>
      <c r="L215" s="11"/>
    </row>
    <row r="216" spans="1:12" x14ac:dyDescent="0.25">
      <c r="A216" t="s">
        <v>969</v>
      </c>
      <c r="B216" t="s">
        <v>963</v>
      </c>
      <c r="C216" t="s">
        <v>931</v>
      </c>
      <c r="D216" s="11"/>
      <c r="F216" s="11"/>
      <c r="H216" s="11"/>
      <c r="J216" s="11"/>
      <c r="K216" s="28"/>
      <c r="L216" s="11"/>
    </row>
    <row r="217" spans="1:12" x14ac:dyDescent="0.25">
      <c r="A217" t="s">
        <v>970</v>
      </c>
      <c r="B217" t="s">
        <v>963</v>
      </c>
      <c r="C217" t="s">
        <v>852</v>
      </c>
      <c r="D217" s="11"/>
      <c r="F217" s="11"/>
      <c r="H217" s="11"/>
      <c r="J217" s="11"/>
      <c r="K217" s="28"/>
      <c r="L217" s="11"/>
    </row>
    <row r="218" spans="1:12" x14ac:dyDescent="0.25">
      <c r="A218" t="s">
        <v>971</v>
      </c>
      <c r="B218" t="s">
        <v>963</v>
      </c>
      <c r="C218" t="s">
        <v>853</v>
      </c>
      <c r="D218" s="11"/>
      <c r="F218" s="11"/>
      <c r="H218" s="11"/>
      <c r="J218" s="11"/>
      <c r="K218" s="28"/>
      <c r="L218" s="11"/>
    </row>
    <row r="219" spans="1:12" x14ac:dyDescent="0.25">
      <c r="A219" t="s">
        <v>972</v>
      </c>
      <c r="B219" t="s">
        <v>963</v>
      </c>
      <c r="C219" t="s">
        <v>932</v>
      </c>
      <c r="D219" s="11"/>
      <c r="F219" s="11"/>
      <c r="H219" s="11"/>
      <c r="J219" s="11"/>
      <c r="K219" s="28"/>
      <c r="L219" s="11"/>
    </row>
    <row r="220" spans="1:12" x14ac:dyDescent="0.25">
      <c r="A220" t="s">
        <v>973</v>
      </c>
      <c r="B220" t="s">
        <v>963</v>
      </c>
      <c r="C220" t="s">
        <v>856</v>
      </c>
      <c r="D220" s="11"/>
      <c r="F220" s="11"/>
      <c r="H220" s="11"/>
      <c r="J220" s="11"/>
      <c r="K220" s="28"/>
      <c r="L220" s="11"/>
    </row>
    <row r="221" spans="1:12" x14ac:dyDescent="0.25">
      <c r="A221" t="s">
        <v>974</v>
      </c>
      <c r="B221" t="s">
        <v>963</v>
      </c>
      <c r="C221" t="s">
        <v>933</v>
      </c>
      <c r="D221" s="11"/>
      <c r="F221" s="11"/>
      <c r="H221" s="11"/>
      <c r="J221" s="11"/>
      <c r="K221" s="28"/>
      <c r="L221" s="11"/>
    </row>
    <row r="222" spans="1:12" x14ac:dyDescent="0.25">
      <c r="A222" t="s">
        <v>975</v>
      </c>
      <c r="B222" t="s">
        <v>963</v>
      </c>
      <c r="C222" t="s">
        <v>252</v>
      </c>
      <c r="D222" s="11"/>
      <c r="F222" s="11"/>
      <c r="H222" s="11"/>
      <c r="J222" s="11"/>
      <c r="K222" s="28"/>
      <c r="L222" s="11"/>
    </row>
    <row r="223" spans="1:12" x14ac:dyDescent="0.25">
      <c r="A223" t="s">
        <v>976</v>
      </c>
      <c r="B223" t="s">
        <v>963</v>
      </c>
      <c r="C223" t="s">
        <v>934</v>
      </c>
      <c r="D223" s="11"/>
      <c r="F223" s="11"/>
      <c r="H223" s="11"/>
      <c r="J223" s="11"/>
      <c r="K223" s="28"/>
      <c r="L223" s="11"/>
    </row>
    <row r="224" spans="1:12" x14ac:dyDescent="0.25">
      <c r="A224" t="s">
        <v>977</v>
      </c>
      <c r="B224" t="s">
        <v>963</v>
      </c>
      <c r="C224" t="s">
        <v>857</v>
      </c>
      <c r="D224" s="11"/>
      <c r="F224" s="11"/>
      <c r="H224" s="11"/>
      <c r="J224" s="11"/>
      <c r="K224" s="28"/>
      <c r="L224" s="11"/>
    </row>
    <row r="225" spans="1:12" x14ac:dyDescent="0.25">
      <c r="A225" t="s">
        <v>978</v>
      </c>
      <c r="B225" t="s">
        <v>963</v>
      </c>
      <c r="C225" t="s">
        <v>935</v>
      </c>
      <c r="D225" s="11"/>
      <c r="F225" s="11"/>
      <c r="H225" s="11"/>
      <c r="J225" s="11"/>
      <c r="K225" s="28"/>
      <c r="L225" s="11"/>
    </row>
    <row r="226" spans="1:12" x14ac:dyDescent="0.25">
      <c r="A226" t="s">
        <v>979</v>
      </c>
      <c r="B226" t="s">
        <v>963</v>
      </c>
      <c r="C226" t="s">
        <v>936</v>
      </c>
      <c r="D226" s="11"/>
      <c r="F226" s="11"/>
      <c r="H226" s="11"/>
      <c r="J226" s="11"/>
      <c r="K226" s="28"/>
      <c r="L226" s="11"/>
    </row>
    <row r="227" spans="1:12" x14ac:dyDescent="0.25">
      <c r="A227" t="s">
        <v>980</v>
      </c>
      <c r="B227" t="s">
        <v>963</v>
      </c>
      <c r="C227" t="s">
        <v>348</v>
      </c>
      <c r="D227" s="11"/>
      <c r="F227" s="11"/>
      <c r="H227" s="11"/>
      <c r="J227" s="11"/>
      <c r="K227" s="28"/>
      <c r="L227" s="11"/>
    </row>
    <row r="228" spans="1:12" x14ac:dyDescent="0.25">
      <c r="A228" t="s">
        <v>981</v>
      </c>
      <c r="B228" t="s">
        <v>963</v>
      </c>
      <c r="C228" t="s">
        <v>937</v>
      </c>
      <c r="D228" s="11"/>
      <c r="F228" s="11"/>
      <c r="H228" s="11"/>
      <c r="J228" s="11"/>
      <c r="K228" s="28"/>
      <c r="L228" s="11"/>
    </row>
    <row r="229" spans="1:12" x14ac:dyDescent="0.25">
      <c r="A229" t="s">
        <v>982</v>
      </c>
      <c r="B229" t="s">
        <v>963</v>
      </c>
      <c r="C229" t="s">
        <v>584</v>
      </c>
      <c r="D229" s="11"/>
      <c r="F229" s="11"/>
      <c r="H229" s="11"/>
      <c r="J229" s="11"/>
      <c r="K229" s="28"/>
      <c r="L229" s="11"/>
    </row>
    <row r="230" spans="1:12" x14ac:dyDescent="0.25">
      <c r="A230" t="s">
        <v>983</v>
      </c>
      <c r="B230" t="s">
        <v>963</v>
      </c>
      <c r="C230" t="s">
        <v>938</v>
      </c>
      <c r="D230" s="11"/>
      <c r="F230" s="11"/>
      <c r="H230" s="11"/>
      <c r="J230" s="11"/>
      <c r="K230" s="28"/>
      <c r="L230" s="11"/>
    </row>
    <row r="231" spans="1:12" x14ac:dyDescent="0.25">
      <c r="A231" t="s">
        <v>984</v>
      </c>
      <c r="B231" t="s">
        <v>963</v>
      </c>
      <c r="C231" t="s">
        <v>275</v>
      </c>
      <c r="D231" s="11"/>
      <c r="F231" s="11"/>
      <c r="H231" s="11"/>
      <c r="J231" s="11"/>
      <c r="K231" s="28"/>
      <c r="L231" s="11"/>
    </row>
    <row r="232" spans="1:12" x14ac:dyDescent="0.25">
      <c r="A232" t="s">
        <v>985</v>
      </c>
      <c r="B232" t="s">
        <v>963</v>
      </c>
      <c r="C232" t="s">
        <v>939</v>
      </c>
      <c r="D232" s="11"/>
      <c r="F232" s="11"/>
      <c r="H232" s="11"/>
      <c r="J232" s="11"/>
      <c r="K232" s="28"/>
      <c r="L232" s="11"/>
    </row>
    <row r="233" spans="1:12" x14ac:dyDescent="0.25">
      <c r="A233" t="s">
        <v>986</v>
      </c>
      <c r="B233" t="s">
        <v>963</v>
      </c>
      <c r="C233" t="s">
        <v>940</v>
      </c>
      <c r="D233" s="11"/>
      <c r="F233" s="11"/>
      <c r="H233" s="11"/>
      <c r="J233" s="11"/>
      <c r="K233" s="28"/>
      <c r="L233" s="11"/>
    </row>
    <row r="234" spans="1:12" x14ac:dyDescent="0.25">
      <c r="D234" s="11"/>
      <c r="F234" s="11"/>
      <c r="H234" s="11"/>
      <c r="J234" s="11"/>
      <c r="K234" s="28"/>
      <c r="L234" s="11"/>
    </row>
    <row r="235" spans="1:12" x14ac:dyDescent="0.25">
      <c r="D235" s="11"/>
      <c r="F235" s="11"/>
      <c r="H235" s="11"/>
      <c r="J235" s="11"/>
      <c r="K235" s="28"/>
      <c r="L235" s="11"/>
    </row>
    <row r="236" spans="1:12" x14ac:dyDescent="0.25">
      <c r="D236" s="11"/>
      <c r="F236" s="11"/>
      <c r="H236" s="11"/>
      <c r="J236" s="11"/>
      <c r="K236" s="28"/>
      <c r="L236" s="11"/>
    </row>
    <row r="237" spans="1:12" x14ac:dyDescent="0.25">
      <c r="D237" s="11"/>
      <c r="F237" s="11"/>
      <c r="H237" s="11"/>
      <c r="J237" s="11"/>
      <c r="K237" s="28"/>
      <c r="L237" s="11"/>
    </row>
    <row r="238" spans="1:12" x14ac:dyDescent="0.25">
      <c r="D238" s="11"/>
      <c r="F238" s="11"/>
      <c r="H238" s="11"/>
      <c r="J238" s="11"/>
      <c r="K238" s="28"/>
      <c r="L238" s="11"/>
    </row>
    <row r="239" spans="1:12" x14ac:dyDescent="0.25">
      <c r="D239" s="11"/>
      <c r="F239" s="11"/>
      <c r="H239" s="11"/>
      <c r="J239" s="11"/>
      <c r="K239" s="28"/>
      <c r="L239" s="11"/>
    </row>
    <row r="240" spans="1:12" x14ac:dyDescent="0.25">
      <c r="D240" s="11"/>
      <c r="F240" s="11"/>
      <c r="H240" s="11"/>
      <c r="J240" s="11"/>
      <c r="K240" s="28"/>
      <c r="L240" s="11"/>
    </row>
    <row r="241" spans="4:12" x14ac:dyDescent="0.25">
      <c r="D241" s="11"/>
      <c r="F241" s="11"/>
      <c r="H241" s="11"/>
      <c r="J241" s="11"/>
      <c r="K241" s="28"/>
      <c r="L241" s="11"/>
    </row>
    <row r="242" spans="4:12" x14ac:dyDescent="0.25">
      <c r="D242" s="11"/>
      <c r="F242" s="11"/>
      <c r="H242" s="11"/>
      <c r="J242" s="11"/>
      <c r="K242" s="28"/>
      <c r="L242" s="11"/>
    </row>
    <row r="243" spans="4:12" x14ac:dyDescent="0.25">
      <c r="D243" s="11"/>
      <c r="F243" s="11"/>
      <c r="H243" s="11"/>
      <c r="J243" s="11"/>
      <c r="K243" s="28"/>
      <c r="L243" s="11"/>
    </row>
    <row r="244" spans="4:12" x14ac:dyDescent="0.25">
      <c r="D244" s="11"/>
      <c r="F244" s="11"/>
      <c r="H244" s="11"/>
      <c r="J244" s="11"/>
      <c r="K244" s="28"/>
      <c r="L244" s="11"/>
    </row>
    <row r="245" spans="4:12" x14ac:dyDescent="0.25">
      <c r="D245" s="11"/>
      <c r="F245" s="11"/>
      <c r="H245" s="11"/>
      <c r="J245" s="11"/>
      <c r="K245" s="28"/>
      <c r="L245" s="11"/>
    </row>
    <row r="246" spans="4:12" x14ac:dyDescent="0.25">
      <c r="D246" s="11"/>
      <c r="F246" s="11"/>
      <c r="H246" s="11"/>
      <c r="J246" s="11"/>
      <c r="K246" s="28"/>
      <c r="L246" s="11"/>
    </row>
    <row r="247" spans="4:12" x14ac:dyDescent="0.25">
      <c r="D247" s="11"/>
      <c r="F247" s="11"/>
      <c r="H247" s="11"/>
      <c r="J247" s="11"/>
      <c r="K247" s="28"/>
      <c r="L247" s="11"/>
    </row>
    <row r="248" spans="4:12" x14ac:dyDescent="0.25">
      <c r="D248" s="11"/>
      <c r="F248" s="11"/>
      <c r="H248" s="11"/>
      <c r="J248" s="11"/>
      <c r="K248" s="28"/>
      <c r="L248" s="11"/>
    </row>
    <row r="249" spans="4:12" x14ac:dyDescent="0.25">
      <c r="D249" s="11"/>
      <c r="F249" s="11"/>
      <c r="H249" s="11"/>
      <c r="J249" s="11"/>
      <c r="K249" s="28"/>
      <c r="L249" s="11"/>
    </row>
    <row r="250" spans="4:12" x14ac:dyDescent="0.25">
      <c r="D250" s="11"/>
      <c r="F250" s="11"/>
      <c r="H250" s="11"/>
      <c r="J250" s="11"/>
      <c r="K250" s="28"/>
      <c r="L250" s="11"/>
    </row>
    <row r="251" spans="4:12" x14ac:dyDescent="0.25">
      <c r="D251" s="11"/>
      <c r="F251" s="11"/>
      <c r="H251" s="11"/>
      <c r="J251" s="11"/>
      <c r="K251" s="28"/>
      <c r="L251" s="11"/>
    </row>
    <row r="252" spans="4:12" x14ac:dyDescent="0.25">
      <c r="D252" s="11"/>
      <c r="F252" s="11"/>
      <c r="H252" s="11"/>
      <c r="J252" s="11"/>
      <c r="K252" s="28"/>
      <c r="L252" s="11"/>
    </row>
    <row r="253" spans="4:12" x14ac:dyDescent="0.25">
      <c r="D253" s="11"/>
      <c r="F253" s="11"/>
      <c r="H253" s="11"/>
      <c r="J253" s="11"/>
      <c r="K253" s="28"/>
      <c r="L253" s="11"/>
    </row>
    <row r="254" spans="4:12" x14ac:dyDescent="0.25">
      <c r="D254" s="11"/>
      <c r="F254" s="11"/>
      <c r="H254" s="11"/>
      <c r="J254" s="11"/>
      <c r="K254" s="28"/>
      <c r="L254" s="11"/>
    </row>
    <row r="255" spans="4:12" x14ac:dyDescent="0.25">
      <c r="D255" s="11"/>
      <c r="F255" s="11"/>
      <c r="H255" s="11"/>
      <c r="J255" s="11"/>
      <c r="K255" s="28"/>
      <c r="L255" s="11"/>
    </row>
    <row r="256" spans="4:12" x14ac:dyDescent="0.25">
      <c r="D256" s="11"/>
      <c r="F256" s="11"/>
      <c r="H256" s="11"/>
      <c r="J256" s="11"/>
      <c r="K256" s="28"/>
      <c r="L256" s="11"/>
    </row>
    <row r="257" spans="4:12" x14ac:dyDescent="0.25">
      <c r="D257" s="11"/>
      <c r="F257" s="11"/>
      <c r="H257" s="11"/>
      <c r="J257" s="11"/>
      <c r="K257" s="28"/>
      <c r="L257" s="11"/>
    </row>
    <row r="258" spans="4:12" x14ac:dyDescent="0.25">
      <c r="D258" s="11"/>
      <c r="F258" s="11"/>
      <c r="H258" s="11"/>
      <c r="J258" s="11"/>
      <c r="K258" s="28"/>
      <c r="L258" s="11"/>
    </row>
    <row r="259" spans="4:12" x14ac:dyDescent="0.25">
      <c r="D259" s="11"/>
      <c r="F259" s="11"/>
      <c r="H259" s="11"/>
      <c r="J259" s="11"/>
      <c r="K259" s="28"/>
      <c r="L259" s="11"/>
    </row>
    <row r="260" spans="4:12" x14ac:dyDescent="0.25">
      <c r="D260" s="11"/>
      <c r="F260" s="11"/>
      <c r="H260" s="11"/>
      <c r="J260" s="11"/>
      <c r="K260" s="28"/>
      <c r="L260" s="11"/>
    </row>
    <row r="261" spans="4:12" x14ac:dyDescent="0.25">
      <c r="D261" s="11"/>
      <c r="F261" s="11"/>
      <c r="H261" s="11"/>
      <c r="J261" s="11"/>
      <c r="K261" s="28"/>
      <c r="L261" s="11"/>
    </row>
    <row r="262" spans="4:12" x14ac:dyDescent="0.25">
      <c r="D262" s="11"/>
      <c r="F262" s="11"/>
      <c r="H262" s="11"/>
      <c r="J262" s="11"/>
      <c r="K262" s="28"/>
      <c r="L262" s="11"/>
    </row>
  </sheetData>
  <autoFilter ref="A1:N250" xr:uid="{7D632FFF-C7D0-4D40-B809-5CF7624AD3B5}"/>
  <phoneticPr fontId="1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55154-7BC1-4F0D-AD36-7F8E534254F8}">
  <dimension ref="A1:E9"/>
  <sheetViews>
    <sheetView workbookViewId="0">
      <selection activeCell="C10" sqref="C10"/>
    </sheetView>
    <sheetView workbookViewId="1"/>
  </sheetViews>
  <sheetFormatPr defaultRowHeight="15" x14ac:dyDescent="0.25"/>
  <cols>
    <col min="3" max="3" width="36.85546875" style="15" customWidth="1"/>
    <col min="5" max="5" width="43.7109375" bestFit="1" customWidth="1"/>
  </cols>
  <sheetData>
    <row r="1" spans="1:5" x14ac:dyDescent="0.25">
      <c r="A1" t="s">
        <v>366</v>
      </c>
      <c r="C1" s="15" t="s">
        <v>367</v>
      </c>
    </row>
    <row r="2" spans="1:5" x14ac:dyDescent="0.25">
      <c r="C2" s="15" t="s">
        <v>368</v>
      </c>
      <c r="E2" t="s">
        <v>370</v>
      </c>
    </row>
    <row r="3" spans="1:5" x14ac:dyDescent="0.25">
      <c r="C3" s="15" t="s">
        <v>369</v>
      </c>
    </row>
    <row r="5" spans="1:5" ht="36" x14ac:dyDescent="0.25">
      <c r="A5" s="4" t="s">
        <v>312</v>
      </c>
      <c r="B5" t="s">
        <v>381</v>
      </c>
      <c r="E5" t="s">
        <v>384</v>
      </c>
    </row>
    <row r="7" spans="1:5" ht="30" x14ac:dyDescent="0.25">
      <c r="A7" t="s">
        <v>394</v>
      </c>
      <c r="C7" s="15" t="s">
        <v>395</v>
      </c>
      <c r="E7" t="s">
        <v>396</v>
      </c>
    </row>
    <row r="9" spans="1:5" x14ac:dyDescent="0.25">
      <c r="C9" s="15" t="s">
        <v>461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9444-5259-45AA-BA2A-9620D67CA97A}">
  <dimension ref="A1:O55"/>
  <sheetViews>
    <sheetView tabSelected="1" workbookViewId="0"/>
    <sheetView tabSelected="1" topLeftCell="C1" zoomScale="70" zoomScaleNormal="70" workbookViewId="1">
      <selection activeCell="F14" sqref="F14"/>
    </sheetView>
  </sheetViews>
  <sheetFormatPr defaultRowHeight="15" x14ac:dyDescent="0.25"/>
  <cols>
    <col min="1" max="1" width="2" bestFit="1" customWidth="1"/>
    <col min="2" max="2" width="39.140625" bestFit="1" customWidth="1"/>
    <col min="3" max="3" width="46.42578125" bestFit="1" customWidth="1"/>
    <col min="4" max="4" width="2" bestFit="1" customWidth="1"/>
    <col min="5" max="5" width="39.140625" bestFit="1" customWidth="1"/>
    <col min="6" max="6" width="51.5703125" bestFit="1" customWidth="1"/>
    <col min="7" max="7" width="9.28515625" customWidth="1"/>
    <col min="8" max="8" width="2" bestFit="1" customWidth="1"/>
    <col min="9" max="9" width="25.7109375" customWidth="1"/>
    <col min="10" max="10" width="47.140625" bestFit="1" customWidth="1"/>
    <col min="11" max="11" width="3.42578125" bestFit="1" customWidth="1"/>
    <col min="12" max="12" width="74.28515625" style="40" bestFit="1" customWidth="1"/>
    <col min="13" max="13" width="3.42578125" bestFit="1" customWidth="1"/>
    <col min="14" max="14" width="26.85546875" bestFit="1" customWidth="1"/>
    <col min="15" max="15" width="2" bestFit="1" customWidth="1"/>
  </cols>
  <sheetData>
    <row r="1" spans="1:15" x14ac:dyDescent="0.25">
      <c r="A1" t="s">
        <v>992</v>
      </c>
      <c r="B1" t="s">
        <v>1043</v>
      </c>
      <c r="D1" t="s">
        <v>992</v>
      </c>
      <c r="E1" t="s">
        <v>285</v>
      </c>
      <c r="H1" t="s">
        <v>992</v>
      </c>
      <c r="I1" t="s">
        <v>279</v>
      </c>
      <c r="O1" t="s">
        <v>992</v>
      </c>
    </row>
    <row r="2" spans="1:15" x14ac:dyDescent="0.25">
      <c r="A2" t="s">
        <v>992</v>
      </c>
      <c r="B2" s="11" t="s">
        <v>1041</v>
      </c>
      <c r="D2" t="s">
        <v>992</v>
      </c>
      <c r="E2" s="11" t="s">
        <v>1041</v>
      </c>
      <c r="H2" t="s">
        <v>992</v>
      </c>
      <c r="I2" s="11" t="s">
        <v>1041</v>
      </c>
      <c r="O2" t="s">
        <v>992</v>
      </c>
    </row>
    <row r="3" spans="1:15" x14ac:dyDescent="0.25">
      <c r="A3" t="s">
        <v>992</v>
      </c>
      <c r="B3" t="s">
        <v>308</v>
      </c>
      <c r="C3" t="s">
        <v>351</v>
      </c>
      <c r="D3" t="s">
        <v>992</v>
      </c>
      <c r="E3" t="s">
        <v>1050</v>
      </c>
      <c r="F3" t="s">
        <v>475</v>
      </c>
      <c r="H3" t="s">
        <v>992</v>
      </c>
      <c r="I3" t="s">
        <v>1005</v>
      </c>
      <c r="J3" t="s">
        <v>326</v>
      </c>
      <c r="K3" t="str">
        <f>IF(LEN(L3)&gt;0, " + ","")</f>
        <v xml:space="preserve"> + </v>
      </c>
      <c r="L3" s="40" t="s">
        <v>1049</v>
      </c>
      <c r="M3" t="str">
        <f>IF(LEN(N3)&gt;0, " + ","")</f>
        <v/>
      </c>
      <c r="O3" t="s">
        <v>992</v>
      </c>
    </row>
    <row r="4" spans="1:15" x14ac:dyDescent="0.25">
      <c r="A4" t="s">
        <v>992</v>
      </c>
      <c r="B4" t="s">
        <v>308</v>
      </c>
      <c r="C4" t="s">
        <v>1002</v>
      </c>
      <c r="D4" t="s">
        <v>992</v>
      </c>
      <c r="E4" t="s">
        <v>1050</v>
      </c>
      <c r="F4" t="s">
        <v>67</v>
      </c>
      <c r="H4" t="s">
        <v>992</v>
      </c>
      <c r="I4" t="s">
        <v>1005</v>
      </c>
      <c r="J4" t="s">
        <v>328</v>
      </c>
      <c r="K4" t="str">
        <f t="shared" ref="K4:K53" si="0">IF(LEN(L4)&gt;0, " + ","")</f>
        <v/>
      </c>
      <c r="M4" t="str">
        <f t="shared" ref="M4:M55" si="1">IF(LEN(N4)&gt;0, " + ","")</f>
        <v/>
      </c>
      <c r="O4" t="s">
        <v>992</v>
      </c>
    </row>
    <row r="5" spans="1:15" x14ac:dyDescent="0.25">
      <c r="A5" t="s">
        <v>992</v>
      </c>
      <c r="B5" t="s">
        <v>308</v>
      </c>
      <c r="C5" t="s">
        <v>1004</v>
      </c>
      <c r="D5" t="s">
        <v>992</v>
      </c>
      <c r="E5" t="s">
        <v>1050</v>
      </c>
      <c r="F5" t="s">
        <v>70</v>
      </c>
      <c r="H5" t="s">
        <v>992</v>
      </c>
      <c r="I5" t="s">
        <v>1005</v>
      </c>
      <c r="J5" t="s">
        <v>329</v>
      </c>
      <c r="K5" t="str">
        <f t="shared" si="0"/>
        <v xml:space="preserve"> + </v>
      </c>
      <c r="L5" s="40" t="s">
        <v>330</v>
      </c>
      <c r="M5" t="str">
        <f t="shared" si="1"/>
        <v/>
      </c>
      <c r="O5" t="s">
        <v>992</v>
      </c>
    </row>
    <row r="6" spans="1:15" x14ac:dyDescent="0.25">
      <c r="A6" t="s">
        <v>992</v>
      </c>
      <c r="B6" t="s">
        <v>308</v>
      </c>
      <c r="C6" t="s">
        <v>1033</v>
      </c>
      <c r="D6" t="s">
        <v>992</v>
      </c>
      <c r="E6" t="s">
        <v>1050</v>
      </c>
      <c r="F6" t="s">
        <v>1034</v>
      </c>
      <c r="H6" t="s">
        <v>992</v>
      </c>
      <c r="J6" t="s">
        <v>1035</v>
      </c>
      <c r="K6" t="str">
        <f t="shared" si="0"/>
        <v/>
      </c>
      <c r="M6" t="str">
        <f t="shared" si="1"/>
        <v/>
      </c>
      <c r="O6" t="s">
        <v>992</v>
      </c>
    </row>
    <row r="7" spans="1:15" x14ac:dyDescent="0.25">
      <c r="A7" t="s">
        <v>992</v>
      </c>
      <c r="B7" t="s">
        <v>308</v>
      </c>
      <c r="C7" t="s">
        <v>1006</v>
      </c>
      <c r="D7" t="s">
        <v>992</v>
      </c>
      <c r="E7" t="s">
        <v>1050</v>
      </c>
      <c r="F7" t="s">
        <v>74</v>
      </c>
      <c r="H7" t="s">
        <v>992</v>
      </c>
      <c r="I7" t="s">
        <v>1005</v>
      </c>
      <c r="J7" t="s">
        <v>1007</v>
      </c>
      <c r="K7" t="str">
        <f t="shared" si="0"/>
        <v/>
      </c>
      <c r="M7" t="str">
        <f t="shared" si="1"/>
        <v/>
      </c>
      <c r="O7" t="s">
        <v>992</v>
      </c>
    </row>
    <row r="8" spans="1:15" x14ac:dyDescent="0.25">
      <c r="A8" t="s">
        <v>992</v>
      </c>
      <c r="B8" t="s">
        <v>308</v>
      </c>
      <c r="C8" t="s">
        <v>86</v>
      </c>
      <c r="D8" t="s">
        <v>992</v>
      </c>
      <c r="E8" t="s">
        <v>1050</v>
      </c>
      <c r="F8" t="s">
        <v>1055</v>
      </c>
      <c r="H8" t="s">
        <v>992</v>
      </c>
      <c r="I8" t="s">
        <v>1047</v>
      </c>
      <c r="K8" t="str">
        <f t="shared" si="0"/>
        <v/>
      </c>
      <c r="M8" t="str">
        <f t="shared" si="1"/>
        <v/>
      </c>
      <c r="O8" t="s">
        <v>992</v>
      </c>
    </row>
    <row r="9" spans="1:15" x14ac:dyDescent="0.25">
      <c r="A9" t="s">
        <v>992</v>
      </c>
      <c r="B9" t="s">
        <v>308</v>
      </c>
      <c r="C9" t="s">
        <v>1031</v>
      </c>
      <c r="D9" t="s">
        <v>992</v>
      </c>
      <c r="E9" t="s">
        <v>1050</v>
      </c>
      <c r="F9" t="s">
        <v>1056</v>
      </c>
      <c r="H9" t="s">
        <v>992</v>
      </c>
      <c r="I9" t="s">
        <v>1048</v>
      </c>
      <c r="K9" t="str">
        <f t="shared" si="0"/>
        <v/>
      </c>
      <c r="M9" t="str">
        <f t="shared" si="1"/>
        <v/>
      </c>
      <c r="O9" t="s">
        <v>992</v>
      </c>
    </row>
    <row r="10" spans="1:15" x14ac:dyDescent="0.25">
      <c r="A10" t="s">
        <v>992</v>
      </c>
      <c r="B10" t="s">
        <v>308</v>
      </c>
      <c r="C10" t="s">
        <v>1032</v>
      </c>
      <c r="D10" t="s">
        <v>992</v>
      </c>
      <c r="E10" t="s">
        <v>1050</v>
      </c>
      <c r="F10" t="s">
        <v>1057</v>
      </c>
      <c r="H10" t="s">
        <v>992</v>
      </c>
      <c r="K10" t="str">
        <f t="shared" si="0"/>
        <v/>
      </c>
      <c r="M10" t="str">
        <f t="shared" si="1"/>
        <v/>
      </c>
      <c r="O10" t="s">
        <v>992</v>
      </c>
    </row>
    <row r="11" spans="1:15" x14ac:dyDescent="0.25">
      <c r="A11" t="s">
        <v>992</v>
      </c>
      <c r="B11" t="s">
        <v>308</v>
      </c>
      <c r="C11" t="s">
        <v>24</v>
      </c>
      <c r="D11" t="s">
        <v>992</v>
      </c>
      <c r="E11" t="s">
        <v>1050</v>
      </c>
      <c r="F11" t="s">
        <v>75</v>
      </c>
      <c r="H11" t="s">
        <v>992</v>
      </c>
      <c r="K11" t="str">
        <f t="shared" si="0"/>
        <v/>
      </c>
      <c r="M11" t="str">
        <f t="shared" si="1"/>
        <v/>
      </c>
      <c r="O11" t="s">
        <v>992</v>
      </c>
    </row>
    <row r="12" spans="1:15" x14ac:dyDescent="0.25">
      <c r="A12" t="s">
        <v>992</v>
      </c>
      <c r="B12" t="s">
        <v>308</v>
      </c>
      <c r="C12" t="s">
        <v>25</v>
      </c>
      <c r="D12" t="s">
        <v>992</v>
      </c>
      <c r="E12" t="s">
        <v>1050</v>
      </c>
      <c r="F12" t="s">
        <v>88</v>
      </c>
      <c r="H12" t="s">
        <v>992</v>
      </c>
      <c r="J12" t="s">
        <v>1022</v>
      </c>
      <c r="K12" t="str">
        <f t="shared" si="0"/>
        <v/>
      </c>
      <c r="M12" t="str">
        <f t="shared" si="1"/>
        <v/>
      </c>
      <c r="O12" t="s">
        <v>992</v>
      </c>
    </row>
    <row r="13" spans="1:15" x14ac:dyDescent="0.25">
      <c r="A13" t="s">
        <v>992</v>
      </c>
      <c r="B13" t="s">
        <v>308</v>
      </c>
      <c r="C13" t="s">
        <v>26</v>
      </c>
      <c r="D13" t="s">
        <v>992</v>
      </c>
      <c r="E13" t="s">
        <v>1050</v>
      </c>
      <c r="F13" t="s">
        <v>79</v>
      </c>
      <c r="H13" t="s">
        <v>992</v>
      </c>
      <c r="J13" t="s">
        <v>1023</v>
      </c>
      <c r="K13" t="str">
        <f t="shared" si="0"/>
        <v/>
      </c>
      <c r="M13" t="str">
        <f t="shared" si="1"/>
        <v/>
      </c>
      <c r="O13" t="s">
        <v>992</v>
      </c>
    </row>
    <row r="14" spans="1:15" x14ac:dyDescent="0.25">
      <c r="A14" t="s">
        <v>992</v>
      </c>
      <c r="B14" t="s">
        <v>308</v>
      </c>
      <c r="C14" t="s">
        <v>27</v>
      </c>
      <c r="D14" t="s">
        <v>992</v>
      </c>
      <c r="E14" t="s">
        <v>1050</v>
      </c>
      <c r="F14" t="s">
        <v>89</v>
      </c>
      <c r="H14" t="s">
        <v>992</v>
      </c>
      <c r="J14" t="s">
        <v>1054</v>
      </c>
      <c r="K14" t="str">
        <f t="shared" si="0"/>
        <v/>
      </c>
      <c r="M14" t="str">
        <f t="shared" si="1"/>
        <v/>
      </c>
      <c r="O14" t="s">
        <v>992</v>
      </c>
    </row>
    <row r="15" spans="1:15" x14ac:dyDescent="0.25">
      <c r="A15" t="s">
        <v>992</v>
      </c>
      <c r="B15" t="s">
        <v>308</v>
      </c>
      <c r="C15" t="s">
        <v>28</v>
      </c>
      <c r="D15" t="s">
        <v>992</v>
      </c>
      <c r="E15" t="s">
        <v>1050</v>
      </c>
      <c r="F15" t="s">
        <v>80</v>
      </c>
      <c r="H15" t="s">
        <v>992</v>
      </c>
      <c r="J15" t="s">
        <v>1024</v>
      </c>
      <c r="K15" t="str">
        <f t="shared" si="0"/>
        <v/>
      </c>
      <c r="M15" t="str">
        <f t="shared" si="1"/>
        <v/>
      </c>
      <c r="O15" t="s">
        <v>992</v>
      </c>
    </row>
    <row r="16" spans="1:15" x14ac:dyDescent="0.25">
      <c r="A16" t="s">
        <v>992</v>
      </c>
      <c r="B16" t="s">
        <v>308</v>
      </c>
      <c r="C16" t="s">
        <v>29</v>
      </c>
      <c r="D16" t="s">
        <v>992</v>
      </c>
      <c r="E16" t="s">
        <v>1050</v>
      </c>
      <c r="F16" s="15" t="s">
        <v>81</v>
      </c>
      <c r="H16" t="s">
        <v>992</v>
      </c>
      <c r="J16" t="s">
        <v>1025</v>
      </c>
      <c r="K16" t="str">
        <f t="shared" si="0"/>
        <v/>
      </c>
      <c r="M16" t="str">
        <f t="shared" si="1"/>
        <v/>
      </c>
      <c r="O16" t="s">
        <v>992</v>
      </c>
    </row>
    <row r="17" spans="1:15" x14ac:dyDescent="0.25">
      <c r="A17" t="s">
        <v>992</v>
      </c>
      <c r="B17" t="s">
        <v>308</v>
      </c>
      <c r="C17" t="s">
        <v>30</v>
      </c>
      <c r="D17" t="s">
        <v>992</v>
      </c>
      <c r="E17" t="s">
        <v>1050</v>
      </c>
      <c r="H17" t="s">
        <v>992</v>
      </c>
      <c r="K17" t="str">
        <f t="shared" si="0"/>
        <v/>
      </c>
      <c r="M17" t="str">
        <f t="shared" si="1"/>
        <v/>
      </c>
      <c r="O17" t="s">
        <v>992</v>
      </c>
    </row>
    <row r="18" spans="1:15" x14ac:dyDescent="0.25">
      <c r="A18" t="s">
        <v>992</v>
      </c>
      <c r="B18" t="s">
        <v>308</v>
      </c>
      <c r="C18" t="s">
        <v>31</v>
      </c>
      <c r="D18" t="s">
        <v>992</v>
      </c>
      <c r="E18" t="s">
        <v>1050</v>
      </c>
      <c r="F18" t="s">
        <v>82</v>
      </c>
      <c r="H18" t="s">
        <v>992</v>
      </c>
      <c r="J18" t="s">
        <v>1027</v>
      </c>
      <c r="K18" t="str">
        <f t="shared" si="0"/>
        <v/>
      </c>
      <c r="M18" t="str">
        <f t="shared" si="1"/>
        <v/>
      </c>
      <c r="O18" t="s">
        <v>992</v>
      </c>
    </row>
    <row r="19" spans="1:15" x14ac:dyDescent="0.25">
      <c r="A19" t="s">
        <v>992</v>
      </c>
      <c r="B19" t="s">
        <v>308</v>
      </c>
      <c r="C19" t="s">
        <v>32</v>
      </c>
      <c r="D19" t="s">
        <v>992</v>
      </c>
      <c r="E19" t="s">
        <v>1050</v>
      </c>
      <c r="F19" t="s">
        <v>83</v>
      </c>
      <c r="H19" t="s">
        <v>992</v>
      </c>
      <c r="K19" t="str">
        <f t="shared" si="0"/>
        <v/>
      </c>
      <c r="M19" t="str">
        <f t="shared" si="1"/>
        <v/>
      </c>
      <c r="O19" t="s">
        <v>992</v>
      </c>
    </row>
    <row r="20" spans="1:15" x14ac:dyDescent="0.25">
      <c r="A20" t="s">
        <v>992</v>
      </c>
      <c r="B20" t="s">
        <v>308</v>
      </c>
      <c r="C20" t="s">
        <v>33</v>
      </c>
      <c r="D20" t="s">
        <v>992</v>
      </c>
      <c r="E20" t="s">
        <v>1050</v>
      </c>
      <c r="F20" t="s">
        <v>84</v>
      </c>
      <c r="H20" t="s">
        <v>992</v>
      </c>
      <c r="J20" t="s">
        <v>1028</v>
      </c>
      <c r="K20" t="str">
        <f t="shared" si="0"/>
        <v xml:space="preserve"> + </v>
      </c>
      <c r="L20" s="40" t="s">
        <v>1040</v>
      </c>
      <c r="M20" t="str">
        <f t="shared" si="1"/>
        <v/>
      </c>
      <c r="O20" t="s">
        <v>992</v>
      </c>
    </row>
    <row r="21" spans="1:15" x14ac:dyDescent="0.25">
      <c r="A21" t="s">
        <v>992</v>
      </c>
      <c r="B21" t="s">
        <v>308</v>
      </c>
      <c r="C21" t="s">
        <v>34</v>
      </c>
      <c r="D21" t="s">
        <v>992</v>
      </c>
      <c r="E21" t="s">
        <v>1050</v>
      </c>
      <c r="F21" t="s">
        <v>591</v>
      </c>
      <c r="H21" t="s">
        <v>992</v>
      </c>
      <c r="K21" t="str">
        <f t="shared" si="0"/>
        <v/>
      </c>
      <c r="M21" t="str">
        <f t="shared" si="1"/>
        <v/>
      </c>
      <c r="O21" t="s">
        <v>992</v>
      </c>
    </row>
    <row r="22" spans="1:15" x14ac:dyDescent="0.25">
      <c r="A22" t="s">
        <v>992</v>
      </c>
      <c r="B22" t="s">
        <v>308</v>
      </c>
      <c r="C22" t="s">
        <v>35</v>
      </c>
      <c r="D22" t="s">
        <v>992</v>
      </c>
      <c r="E22" t="s">
        <v>1050</v>
      </c>
      <c r="F22" t="s">
        <v>588</v>
      </c>
      <c r="H22" t="s">
        <v>992</v>
      </c>
      <c r="K22" t="str">
        <f t="shared" si="0"/>
        <v/>
      </c>
      <c r="M22" t="str">
        <f t="shared" si="1"/>
        <v/>
      </c>
      <c r="O22" t="s">
        <v>992</v>
      </c>
    </row>
    <row r="23" spans="1:15" x14ac:dyDescent="0.25">
      <c r="A23" t="s">
        <v>992</v>
      </c>
      <c r="B23" t="s">
        <v>308</v>
      </c>
      <c r="C23" t="s">
        <v>36</v>
      </c>
      <c r="D23" t="s">
        <v>992</v>
      </c>
      <c r="E23" t="s">
        <v>1050</v>
      </c>
      <c r="F23" t="s">
        <v>375</v>
      </c>
      <c r="H23" t="s">
        <v>992</v>
      </c>
      <c r="J23" t="s">
        <v>1029</v>
      </c>
      <c r="K23" t="str">
        <f t="shared" si="0"/>
        <v/>
      </c>
      <c r="M23" t="str">
        <f t="shared" si="1"/>
        <v/>
      </c>
      <c r="O23" t="s">
        <v>992</v>
      </c>
    </row>
    <row r="24" spans="1:15" x14ac:dyDescent="0.25">
      <c r="A24" t="s">
        <v>992</v>
      </c>
      <c r="B24" t="s">
        <v>308</v>
      </c>
      <c r="C24" t="s">
        <v>36</v>
      </c>
      <c r="D24" t="s">
        <v>992</v>
      </c>
      <c r="E24" t="s">
        <v>1050</v>
      </c>
      <c r="F24" t="s">
        <v>1036</v>
      </c>
      <c r="H24" t="s">
        <v>992</v>
      </c>
      <c r="J24" t="s">
        <v>1037</v>
      </c>
      <c r="K24" t="str">
        <f t="shared" si="0"/>
        <v xml:space="preserve"> + </v>
      </c>
      <c r="L24" s="40" t="s">
        <v>1038</v>
      </c>
      <c r="M24" t="str">
        <f t="shared" si="1"/>
        <v xml:space="preserve"> + </v>
      </c>
      <c r="N24" t="s">
        <v>1039</v>
      </c>
      <c r="O24" t="s">
        <v>992</v>
      </c>
    </row>
    <row r="25" spans="1:15" x14ac:dyDescent="0.25">
      <c r="A25" t="s">
        <v>992</v>
      </c>
      <c r="B25" t="s">
        <v>308</v>
      </c>
      <c r="C25" t="s">
        <v>37</v>
      </c>
      <c r="D25" t="s">
        <v>992</v>
      </c>
      <c r="E25" t="s">
        <v>1050</v>
      </c>
      <c r="F25" t="s">
        <v>1021</v>
      </c>
      <c r="H25" t="s">
        <v>992</v>
      </c>
      <c r="I25" t="s">
        <v>1026</v>
      </c>
      <c r="K25" t="str">
        <f t="shared" si="0"/>
        <v/>
      </c>
      <c r="M25" t="str">
        <f t="shared" si="1"/>
        <v/>
      </c>
      <c r="O25" t="s">
        <v>992</v>
      </c>
    </row>
    <row r="26" spans="1:15" x14ac:dyDescent="0.25">
      <c r="A26" t="s">
        <v>992</v>
      </c>
      <c r="B26" t="s">
        <v>308</v>
      </c>
      <c r="C26" t="s">
        <v>38</v>
      </c>
      <c r="D26" t="s">
        <v>992</v>
      </c>
      <c r="E26" t="s">
        <v>1050</v>
      </c>
      <c r="F26" t="s">
        <v>587</v>
      </c>
      <c r="H26" t="s">
        <v>992</v>
      </c>
      <c r="J26" t="s">
        <v>1029</v>
      </c>
      <c r="K26" t="str">
        <f t="shared" si="0"/>
        <v/>
      </c>
      <c r="M26" t="str">
        <f t="shared" si="1"/>
        <v/>
      </c>
      <c r="O26" t="s">
        <v>992</v>
      </c>
    </row>
    <row r="27" spans="1:15" x14ac:dyDescent="0.25">
      <c r="A27" t="s">
        <v>992</v>
      </c>
      <c r="B27" t="s">
        <v>308</v>
      </c>
      <c r="C27" t="s">
        <v>39</v>
      </c>
      <c r="D27" t="s">
        <v>992</v>
      </c>
      <c r="E27" t="s">
        <v>1050</v>
      </c>
      <c r="F27" t="s">
        <v>592</v>
      </c>
      <c r="H27" t="s">
        <v>992</v>
      </c>
      <c r="J27" t="s">
        <v>1030</v>
      </c>
      <c r="K27" t="str">
        <f t="shared" si="0"/>
        <v/>
      </c>
      <c r="M27" t="str">
        <f t="shared" si="1"/>
        <v/>
      </c>
      <c r="O27" t="s">
        <v>992</v>
      </c>
    </row>
    <row r="28" spans="1:15" x14ac:dyDescent="0.25">
      <c r="A28" t="s">
        <v>992</v>
      </c>
      <c r="D28" t="s">
        <v>992</v>
      </c>
      <c r="H28" t="s">
        <v>992</v>
      </c>
      <c r="K28" t="str">
        <f t="shared" si="0"/>
        <v/>
      </c>
      <c r="M28" t="str">
        <f t="shared" si="1"/>
        <v/>
      </c>
      <c r="O28" t="s">
        <v>992</v>
      </c>
    </row>
    <row r="29" spans="1:15" x14ac:dyDescent="0.25">
      <c r="A29" t="s">
        <v>992</v>
      </c>
      <c r="D29" t="s">
        <v>992</v>
      </c>
      <c r="H29" t="s">
        <v>992</v>
      </c>
      <c r="K29" t="str">
        <f t="shared" si="0"/>
        <v/>
      </c>
      <c r="M29" t="str">
        <f t="shared" si="1"/>
        <v/>
      </c>
      <c r="O29" t="s">
        <v>992</v>
      </c>
    </row>
    <row r="30" spans="1:15" x14ac:dyDescent="0.25">
      <c r="A30" t="s">
        <v>992</v>
      </c>
      <c r="B30" t="s">
        <v>77</v>
      </c>
      <c r="C30" t="s">
        <v>1009</v>
      </c>
      <c r="D30" t="s">
        <v>992</v>
      </c>
      <c r="E30" t="s">
        <v>1051</v>
      </c>
      <c r="F30" t="s">
        <v>114</v>
      </c>
      <c r="H30" t="s">
        <v>992</v>
      </c>
      <c r="I30" t="s">
        <v>829</v>
      </c>
      <c r="J30" t="s">
        <v>287</v>
      </c>
      <c r="K30" t="str">
        <f t="shared" si="0"/>
        <v/>
      </c>
      <c r="M30" t="str">
        <f t="shared" si="1"/>
        <v/>
      </c>
      <c r="O30" t="s">
        <v>992</v>
      </c>
    </row>
    <row r="31" spans="1:15" x14ac:dyDescent="0.25">
      <c r="A31" t="s">
        <v>992</v>
      </c>
      <c r="B31" t="s">
        <v>77</v>
      </c>
      <c r="C31" t="s">
        <v>576</v>
      </c>
      <c r="D31" t="s">
        <v>992</v>
      </c>
      <c r="E31" t="s">
        <v>1051</v>
      </c>
      <c r="F31" t="s">
        <v>47</v>
      </c>
      <c r="H31" t="s">
        <v>992</v>
      </c>
      <c r="I31" t="s">
        <v>829</v>
      </c>
      <c r="J31" t="s">
        <v>529</v>
      </c>
      <c r="K31" t="str">
        <f t="shared" si="0"/>
        <v xml:space="preserve"> + </v>
      </c>
      <c r="L31" s="40" t="s">
        <v>530</v>
      </c>
      <c r="M31" t="str">
        <f t="shared" si="1"/>
        <v xml:space="preserve"> + </v>
      </c>
      <c r="N31" t="s">
        <v>532</v>
      </c>
      <c r="O31" t="s">
        <v>992</v>
      </c>
    </row>
    <row r="32" spans="1:15" x14ac:dyDescent="0.25">
      <c r="A32" t="s">
        <v>992</v>
      </c>
      <c r="B32" t="s">
        <v>77</v>
      </c>
      <c r="C32" t="s">
        <v>1010</v>
      </c>
      <c r="D32" t="s">
        <v>992</v>
      </c>
      <c r="E32" t="s">
        <v>1051</v>
      </c>
      <c r="F32" t="s">
        <v>1011</v>
      </c>
      <c r="H32" t="s">
        <v>992</v>
      </c>
      <c r="I32" t="s">
        <v>829</v>
      </c>
      <c r="J32" t="s">
        <v>1012</v>
      </c>
      <c r="K32" t="str">
        <f t="shared" si="0"/>
        <v/>
      </c>
      <c r="M32" t="str">
        <f t="shared" si="1"/>
        <v/>
      </c>
      <c r="O32" t="s">
        <v>992</v>
      </c>
    </row>
    <row r="33" spans="1:15" x14ac:dyDescent="0.25">
      <c r="A33" t="s">
        <v>992</v>
      </c>
      <c r="B33" t="s">
        <v>77</v>
      </c>
      <c r="C33" t="s">
        <v>1008</v>
      </c>
      <c r="D33" t="s">
        <v>992</v>
      </c>
      <c r="E33" t="s">
        <v>1051</v>
      </c>
      <c r="F33" t="s">
        <v>324</v>
      </c>
      <c r="H33" t="s">
        <v>992</v>
      </c>
      <c r="I33" t="s">
        <v>829</v>
      </c>
      <c r="J33" t="s">
        <v>1013</v>
      </c>
      <c r="K33" t="str">
        <f t="shared" si="0"/>
        <v/>
      </c>
      <c r="M33" t="str">
        <f t="shared" si="1"/>
        <v/>
      </c>
      <c r="O33" t="s">
        <v>992</v>
      </c>
    </row>
    <row r="34" spans="1:15" x14ac:dyDescent="0.25">
      <c r="A34" t="s">
        <v>992</v>
      </c>
      <c r="D34" t="s">
        <v>992</v>
      </c>
      <c r="H34" t="s">
        <v>992</v>
      </c>
      <c r="K34" t="str">
        <f t="shared" si="0"/>
        <v/>
      </c>
      <c r="M34" t="str">
        <f t="shared" si="1"/>
        <v/>
      </c>
      <c r="O34" t="s">
        <v>992</v>
      </c>
    </row>
    <row r="35" spans="1:15" x14ac:dyDescent="0.25">
      <c r="A35" t="s">
        <v>992</v>
      </c>
      <c r="B35" t="s">
        <v>1046</v>
      </c>
      <c r="C35" t="s">
        <v>1001</v>
      </c>
      <c r="D35" t="s">
        <v>992</v>
      </c>
      <c r="E35" t="s">
        <v>1050</v>
      </c>
      <c r="F35" t="s">
        <v>1003</v>
      </c>
      <c r="H35" t="s">
        <v>992</v>
      </c>
      <c r="I35" t="s">
        <v>1005</v>
      </c>
      <c r="J35" t="s">
        <v>331</v>
      </c>
      <c r="K35" t="str">
        <f t="shared" si="0"/>
        <v xml:space="preserve"> + </v>
      </c>
      <c r="L35" s="40" t="s">
        <v>332</v>
      </c>
      <c r="M35" t="str">
        <f t="shared" si="1"/>
        <v/>
      </c>
      <c r="O35" t="s">
        <v>992</v>
      </c>
    </row>
    <row r="36" spans="1:15" x14ac:dyDescent="0.25">
      <c r="A36" t="s">
        <v>992</v>
      </c>
      <c r="B36" t="s">
        <v>1046</v>
      </c>
      <c r="C36" t="s">
        <v>1014</v>
      </c>
      <c r="D36" t="s">
        <v>992</v>
      </c>
      <c r="E36" t="s">
        <v>1052</v>
      </c>
      <c r="F36" t="s">
        <v>47</v>
      </c>
      <c r="H36" t="s">
        <v>992</v>
      </c>
      <c r="I36" t="s">
        <v>1005</v>
      </c>
      <c r="J36" t="s">
        <v>1015</v>
      </c>
      <c r="K36" t="str">
        <f t="shared" si="0"/>
        <v/>
      </c>
      <c r="M36" t="str">
        <f t="shared" si="1"/>
        <v/>
      </c>
      <c r="O36" t="s">
        <v>992</v>
      </c>
    </row>
    <row r="37" spans="1:15" x14ac:dyDescent="0.25">
      <c r="A37" t="s">
        <v>992</v>
      </c>
      <c r="B37" t="s">
        <v>1046</v>
      </c>
      <c r="C37" t="s">
        <v>276</v>
      </c>
      <c r="D37" t="s">
        <v>992</v>
      </c>
      <c r="E37" t="s">
        <v>1052</v>
      </c>
      <c r="F37" t="s">
        <v>276</v>
      </c>
      <c r="H37" t="s">
        <v>992</v>
      </c>
      <c r="I37" t="s">
        <v>1005</v>
      </c>
      <c r="J37" t="s">
        <v>1016</v>
      </c>
      <c r="K37" t="str">
        <f t="shared" si="0"/>
        <v/>
      </c>
      <c r="M37" t="str">
        <f t="shared" si="1"/>
        <v/>
      </c>
      <c r="O37" t="s">
        <v>992</v>
      </c>
    </row>
    <row r="38" spans="1:15" x14ac:dyDescent="0.25">
      <c r="A38" t="s">
        <v>992</v>
      </c>
      <c r="B38" t="s">
        <v>1046</v>
      </c>
      <c r="C38" t="s">
        <v>1042</v>
      </c>
      <c r="D38" t="s">
        <v>992</v>
      </c>
      <c r="E38" t="s">
        <v>1052</v>
      </c>
      <c r="F38" t="s">
        <v>585</v>
      </c>
      <c r="H38" t="s">
        <v>992</v>
      </c>
      <c r="I38" t="s">
        <v>1005</v>
      </c>
      <c r="J38" s="9" t="s">
        <v>340</v>
      </c>
      <c r="K38" t="str">
        <f t="shared" si="0"/>
        <v/>
      </c>
      <c r="M38" t="str">
        <f t="shared" si="1"/>
        <v/>
      </c>
      <c r="O38" t="s">
        <v>992</v>
      </c>
    </row>
    <row r="39" spans="1:15" x14ac:dyDescent="0.25">
      <c r="A39" t="s">
        <v>992</v>
      </c>
      <c r="D39" t="s">
        <v>992</v>
      </c>
      <c r="H39" t="s">
        <v>992</v>
      </c>
      <c r="K39" t="str">
        <f t="shared" si="0"/>
        <v/>
      </c>
      <c r="M39" t="str">
        <f t="shared" si="1"/>
        <v/>
      </c>
      <c r="O39" t="s">
        <v>992</v>
      </c>
    </row>
    <row r="40" spans="1:15" x14ac:dyDescent="0.25">
      <c r="A40" t="s">
        <v>992</v>
      </c>
      <c r="B40" t="s">
        <v>1045</v>
      </c>
      <c r="C40" t="s">
        <v>583</v>
      </c>
      <c r="D40" t="s">
        <v>992</v>
      </c>
      <c r="E40" t="s">
        <v>1050</v>
      </c>
      <c r="F40" t="s">
        <v>583</v>
      </c>
      <c r="H40" t="s">
        <v>992</v>
      </c>
      <c r="O40" t="s">
        <v>992</v>
      </c>
    </row>
    <row r="41" spans="1:15" x14ac:dyDescent="0.25">
      <c r="A41" t="s">
        <v>992</v>
      </c>
      <c r="D41" t="s">
        <v>992</v>
      </c>
      <c r="H41" t="s">
        <v>992</v>
      </c>
      <c r="O41" t="s">
        <v>992</v>
      </c>
    </row>
    <row r="42" spans="1:15" x14ac:dyDescent="0.25">
      <c r="A42" t="s">
        <v>992</v>
      </c>
      <c r="B42" t="s">
        <v>1017</v>
      </c>
      <c r="C42" t="s">
        <v>346</v>
      </c>
      <c r="D42" t="s">
        <v>992</v>
      </c>
      <c r="E42" t="s">
        <v>1020</v>
      </c>
      <c r="F42" t="s">
        <v>346</v>
      </c>
      <c r="H42" t="s">
        <v>992</v>
      </c>
      <c r="I42" t="s">
        <v>1018</v>
      </c>
      <c r="J42" t="s">
        <v>341</v>
      </c>
      <c r="K42" t="str">
        <f t="shared" si="0"/>
        <v/>
      </c>
      <c r="M42" t="str">
        <f t="shared" si="1"/>
        <v/>
      </c>
      <c r="O42" t="s">
        <v>992</v>
      </c>
    </row>
    <row r="43" spans="1:15" x14ac:dyDescent="0.25">
      <c r="A43" t="s">
        <v>992</v>
      </c>
      <c r="B43" t="s">
        <v>1017</v>
      </c>
      <c r="C43" t="s">
        <v>1019</v>
      </c>
      <c r="D43" t="s">
        <v>992</v>
      </c>
      <c r="E43" t="s">
        <v>1053</v>
      </c>
      <c r="F43" t="s">
        <v>114</v>
      </c>
      <c r="H43" t="s">
        <v>992</v>
      </c>
      <c r="I43" t="s">
        <v>1018</v>
      </c>
      <c r="J43" s="9" t="s">
        <v>342</v>
      </c>
      <c r="K43" t="str">
        <f t="shared" si="0"/>
        <v/>
      </c>
      <c r="M43" t="str">
        <f t="shared" si="1"/>
        <v/>
      </c>
      <c r="O43" t="s">
        <v>992</v>
      </c>
    </row>
    <row r="44" spans="1:15" x14ac:dyDescent="0.25">
      <c r="A44" t="s">
        <v>992</v>
      </c>
      <c r="B44" t="s">
        <v>1017</v>
      </c>
      <c r="C44" t="s">
        <v>1044</v>
      </c>
      <c r="D44" t="s">
        <v>992</v>
      </c>
      <c r="E44" t="s">
        <v>1053</v>
      </c>
      <c r="F44" t="s">
        <v>252</v>
      </c>
      <c r="H44" t="s">
        <v>992</v>
      </c>
      <c r="I44" t="s">
        <v>1018</v>
      </c>
      <c r="J44" s="9" t="s">
        <v>343</v>
      </c>
      <c r="K44" t="str">
        <f t="shared" si="0"/>
        <v/>
      </c>
      <c r="M44" t="str">
        <f t="shared" si="1"/>
        <v/>
      </c>
      <c r="O44" t="s">
        <v>992</v>
      </c>
    </row>
    <row r="45" spans="1:15" x14ac:dyDescent="0.25">
      <c r="K45" t="str">
        <f t="shared" si="0"/>
        <v/>
      </c>
      <c r="M45" t="str">
        <f t="shared" si="1"/>
        <v/>
      </c>
    </row>
    <row r="46" spans="1:15" x14ac:dyDescent="0.25">
      <c r="K46" t="str">
        <f t="shared" si="0"/>
        <v/>
      </c>
      <c r="M46" t="str">
        <f t="shared" si="1"/>
        <v/>
      </c>
    </row>
    <row r="47" spans="1:15" x14ac:dyDescent="0.25">
      <c r="K47" t="str">
        <f t="shared" si="0"/>
        <v/>
      </c>
      <c r="M47" t="str">
        <f t="shared" si="1"/>
        <v/>
      </c>
    </row>
    <row r="48" spans="1:15" x14ac:dyDescent="0.25">
      <c r="K48" t="str">
        <f t="shared" si="0"/>
        <v/>
      </c>
      <c r="M48" t="str">
        <f t="shared" si="1"/>
        <v/>
      </c>
    </row>
    <row r="49" spans="11:13" x14ac:dyDescent="0.25">
      <c r="K49" t="str">
        <f t="shared" si="0"/>
        <v/>
      </c>
      <c r="M49" t="str">
        <f t="shared" si="1"/>
        <v/>
      </c>
    </row>
    <row r="50" spans="11:13" x14ac:dyDescent="0.25">
      <c r="K50" t="str">
        <f t="shared" si="0"/>
        <v/>
      </c>
      <c r="M50" t="str">
        <f t="shared" si="1"/>
        <v/>
      </c>
    </row>
    <row r="51" spans="11:13" x14ac:dyDescent="0.25">
      <c r="K51" t="str">
        <f t="shared" si="0"/>
        <v/>
      </c>
      <c r="M51" t="str">
        <f t="shared" si="1"/>
        <v/>
      </c>
    </row>
    <row r="52" spans="11:13" x14ac:dyDescent="0.25">
      <c r="K52" t="str">
        <f t="shared" si="0"/>
        <v/>
      </c>
      <c r="M52" t="str">
        <f t="shared" si="1"/>
        <v/>
      </c>
    </row>
    <row r="53" spans="11:13" x14ac:dyDescent="0.25">
      <c r="K53" t="str">
        <f t="shared" si="0"/>
        <v/>
      </c>
      <c r="M53" t="str">
        <f t="shared" si="1"/>
        <v/>
      </c>
    </row>
    <row r="54" spans="11:13" x14ac:dyDescent="0.25">
      <c r="M54" t="str">
        <f t="shared" si="1"/>
        <v/>
      </c>
    </row>
    <row r="55" spans="11:13" x14ac:dyDescent="0.25">
      <c r="M55" t="str">
        <f t="shared" si="1"/>
        <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455e28d-8ed4-43b6-b7bd-823957b9ba56">
      <Terms xmlns="http://schemas.microsoft.com/office/infopath/2007/PartnerControls"/>
    </lcf76f155ced4ddcb4097134ff3c332f>
    <TaxCatchAll xmlns="49919dca-d9c1-492f-bd36-8a887e31a6e3" xsi:nil="true"/>
    <_dlc_DocId xmlns="49919dca-d9c1-492f-bd36-8a887e31a6e3">52SREJXCSUKZ-975386879-100665</_dlc_DocId>
    <_dlc_DocIdUrl xmlns="49919dca-d9c1-492f-bd36-8a887e31a6e3">
      <Url>https://share.philips.com/sites/CONNECTWP/_layouts/15/DocIdRedir.aspx?ID=52SREJXCSUKZ-975386879-100665</Url>
      <Description>52SREJXCSUKZ-975386879-100665</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86238E3A8F571418B3AB9599582F244" ma:contentTypeVersion="19" ma:contentTypeDescription="Een nieuw document maken." ma:contentTypeScope="" ma:versionID="282b76912545799dea5190f2f7a4fad6">
  <xsd:schema xmlns:xsd="http://www.w3.org/2001/XMLSchema" xmlns:xs="http://www.w3.org/2001/XMLSchema" xmlns:p="http://schemas.microsoft.com/office/2006/metadata/properties" xmlns:ns2="3455e28d-8ed4-43b6-b7bd-823957b9ba56" xmlns:ns3="0368f0ae-8bcb-479d-8e76-dabeaa1b11e7" xmlns:ns4="49919dca-d9c1-492f-bd36-8a887e31a6e3" targetNamespace="http://schemas.microsoft.com/office/2006/metadata/properties" ma:root="true" ma:fieldsID="3ad27aafd7881706f3321550b05b2c3b" ns2:_="" ns3:_="" ns4:_="">
    <xsd:import namespace="3455e28d-8ed4-43b6-b7bd-823957b9ba56"/>
    <xsd:import namespace="0368f0ae-8bcb-479d-8e76-dabeaa1b11e7"/>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4:_dlc_DocId" minOccurs="0"/>
                <xsd:element ref="ns4:_dlc_DocIdUrl" minOccurs="0"/>
                <xsd:element ref="ns4:_dlc_DocIdPersistId"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55e28d-8ed4-43b6-b7bd-823957b9ba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68f0ae-8bcb-479d-8e76-dabeaa1b11e7" elementFormDefault="qualified">
    <xsd:import namespace="http://schemas.microsoft.com/office/2006/documentManagement/types"/>
    <xsd:import namespace="http://schemas.microsoft.com/office/infopath/2007/PartnerControls"/>
    <xsd:element name="SharedWithUsers" ma:index="14"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3589836-275e-41db-a27e-fc29afc5338e}" ma:internalName="TaxCatchAll" ma:showField="CatchAllData" ma:web="0368f0ae-8bcb-479d-8e76-dabeaa1b11e7">
      <xsd:complexType>
        <xsd:complexContent>
          <xsd:extension base="dms:MultiChoiceLookup">
            <xsd:sequence>
              <xsd:element name="Value" type="dms:Lookup" maxOccurs="unbounded" minOccurs="0" nillable="true"/>
            </xsd:sequence>
          </xsd:extension>
        </xsd:complexContent>
      </xsd:complexType>
    </xsd:element>
    <xsd:element name="_dlc_DocId" ma:index="24"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25"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1466E396-4271-4467-B188-65A7FB3CE135}">
  <ds:schemaRefs>
    <ds:schemaRef ds:uri="http://schemas.microsoft.com/sharepoint/events"/>
  </ds:schemaRefs>
</ds:datastoreItem>
</file>

<file path=customXml/itemProps2.xml><?xml version="1.0" encoding="utf-8"?>
<ds:datastoreItem xmlns:ds="http://schemas.openxmlformats.org/officeDocument/2006/customXml" ds:itemID="{78268FDB-FB44-452B-84A9-C7BA4AF192D7}">
  <ds:schemaRefs>
    <ds:schemaRef ds:uri="http://schemas.microsoft.com/sharepoint/v3/contenttype/forms"/>
  </ds:schemaRefs>
</ds:datastoreItem>
</file>

<file path=customXml/itemProps3.xml><?xml version="1.0" encoding="utf-8"?>
<ds:datastoreItem xmlns:ds="http://schemas.openxmlformats.org/officeDocument/2006/customXml" ds:itemID="{90BE66F5-3595-470F-8EFD-2FD78EC37567}">
  <ds:schemaRefs>
    <ds:schemaRef ds:uri="http://schemas.microsoft.com/office/2006/metadata/properties"/>
    <ds:schemaRef ds:uri="http://schemas.microsoft.com/office/infopath/2007/PartnerControls"/>
    <ds:schemaRef ds:uri="3455e28d-8ed4-43b6-b7bd-823957b9ba56"/>
    <ds:schemaRef ds:uri="49919dca-d9c1-492f-bd36-8a887e31a6e3"/>
  </ds:schemaRefs>
</ds:datastoreItem>
</file>

<file path=customXml/itemProps4.xml><?xml version="1.0" encoding="utf-8"?>
<ds:datastoreItem xmlns:ds="http://schemas.openxmlformats.org/officeDocument/2006/customXml" ds:itemID="{C2D2D93C-1221-4858-B039-82CE3C26DC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55e28d-8ed4-43b6-b7bd-823957b9ba56"/>
    <ds:schemaRef ds:uri="0368f0ae-8bcb-479d-8e76-dabeaa1b11e7"/>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D65F779A-4761-4638-B3AA-8A62E6D8C66A}">
  <ds:schemaRefs>
    <ds:schemaRef ds:uri="Microsoft.SharePoint.Taxonomy.ContentTypeSync"/>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XtEHR</vt:lpstr>
      <vt:lpstr>KOS</vt:lpstr>
      <vt:lpstr>KOS SR</vt:lpstr>
      <vt:lpstr>FHIR</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Heuvel, Bas van den</dc:creator>
  <cp:lastModifiedBy>Heuvel, Bas van den</cp:lastModifiedBy>
  <dcterms:created xsi:type="dcterms:W3CDTF">2015-06-05T18:19:34Z</dcterms:created>
  <dcterms:modified xsi:type="dcterms:W3CDTF">2026-03-03T18:03:58Z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0x010100286238E3A8F571418B3AB9599582F244</vt:lpwstr>
  </property>
  <property fmtid="{D5CDD505-2E9C-101B-9397-08002B2CF9AE}" pid="3" name="_dlc_DocIdItemGuid">
    <vt:lpwstr>3f1d020c-3a27-4213-b8fe-521469493059</vt:lpwstr>
  </property>
  <property fmtid="{D5CDD505-2E9C-101B-9397-08002B2CF9AE}" pid="4" name="MediaServiceImageTags">
    <vt:lpwstr/>
  </property>
</Properties>
</file>